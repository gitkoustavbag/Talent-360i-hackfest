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xl/worksheets/sheet1.xml" ContentType="application/vnd.openxmlformats-officedocument.spreadsheetml.worksheet+xml"/>
  <Override PartName="/docProps/app.xml" ContentType="application/vnd.openxmlformats-officedocument.extended-properties+xml"/>
  <Override PartName="/xl/comments1.xml" ContentType="application/vnd.openxmlformats-officedocument.spreadsheetml.comment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BC641D66-C4B4-4FE0-A897-CA062EEEE8A4}" xr6:coauthVersionLast="47" xr6:coauthVersionMax="47" xr10:uidLastSave="{00000000-0000-0000-0000-000000000000}"/>
  <bookViews>
    <workbookView xWindow="0" yWindow="0" windowWidth="0" windowHeight="0" firstSheet="10" activeTab="10" xr2:uid="{00000000-000D-0000-FFFF-FFFF00000000}"/>
  </bookViews>
  <sheets>
    <sheet name="README_Architecture" sheetId="1" r:id="rId1"/>
    <sheet name="Source_Analysis" sheetId="2" r:id="rId2"/>
    <sheet name="Data_Dictionary" sheetId="3" r:id="rId3"/>
    <sheet name="Relationship_Map" sheetId="4" r:id="rId4"/>
    <sheet name="Role_Master" sheetId="5" r:id="rId5"/>
    <sheet name="Role_Descriptions" sheetId="6" r:id="rId6"/>
    <sheet name="Skill_Master" sheetId="7" r:id="rId7"/>
    <sheet name="Proficiency_Levels" sheetId="8" r:id="rId8"/>
    <sheet name="Role_Skill_Map" sheetId="9" r:id="rId9"/>
    <sheet name="Training_Catalogue" sheetId="10" r:id="rId10"/>
    <sheet name="Training_Skill_Map" sheetId="11" r:id="rId11"/>
    <sheet name="Assessment_Blueprints" sheetId="12" r:id="rId12"/>
    <sheet name="Assessment_QBank" sheetId="13" r:id="rId13"/>
    <sheet name="SME_Review_Workflow" sheetId="14" r:id="rId14"/>
    <sheet name="Assessment_Schedules" sheetId="15" r:id="rId15"/>
    <sheet name="Users_Teams" sheetId="16" r:id="rId16"/>
    <sheet name="Assessment_Assignments" sheetId="17" r:id="rId17"/>
    <sheet name="Assessment_Results" sheetId="18" r:id="rId18"/>
    <sheet name="User_Skill_Assessments" sheetId="19" r:id="rId19"/>
    <sheet name="Skill_Gaps_TNI" sheetId="20" r:id="rId20"/>
    <sheet name="Skill_Movement_History" sheetId="21" r:id="rId21"/>
    <sheet name="Test_Personas" sheetId="22" r:id="rId22"/>
    <sheet name="MVP_Acceptance" sheetId="23" r:id="rId23"/>
    <sheet name="Privacy_RAI" sheetId="24" r:id="rId24"/>
    <sheet name="Roadmap_Boundary" sheetId="25" r:id="rId25"/>
    <sheet name="Validation_Checks" sheetId="26" r:id="rId26"/>
  </sheets>
  <definedNames>
    <definedName name="_xlnm._FilterDatabase" localSheetId="0" hidden="1">README_Architecture!$A$3:$F$13</definedName>
    <definedName name="_xlnm._FilterDatabase" localSheetId="1" hidden="1">Source_Analysis!$A$3:$G$16</definedName>
    <definedName name="_xlnm._FilterDatabase" localSheetId="2" hidden="1">Data_Dictionary!$A$3:$F$263</definedName>
    <definedName name="_xlnm._FilterDatabase" localSheetId="3" hidden="1">Relationship_Map!$A$3:$F$16</definedName>
    <definedName name="_xlnm._FilterDatabase" localSheetId="4" hidden="1">Role_Master!$A$3:$L$12</definedName>
    <definedName name="_xlnm._FilterDatabase" localSheetId="5" hidden="1">Role_Descriptions!$A$3:$J$15</definedName>
    <definedName name="_xlnm._FilterDatabase" localSheetId="6" hidden="1">Skill_Master!$A$3:$L$31</definedName>
    <definedName name="_xlnm._FilterDatabase" localSheetId="7" hidden="1">Proficiency_Levels!$A$3:$F$9</definedName>
    <definedName name="_xlnm._FilterDatabase" localSheetId="8" hidden="1">Role_Skill_Map!$A$3:$O$93</definedName>
    <definedName name="_xlnm._FilterDatabase" localSheetId="9" hidden="1">Training_Catalogue!$A$3:$J$34</definedName>
    <definedName name="_xlnm._FilterDatabase" localSheetId="10" hidden="1">Training_Skill_Map!$A$3:$J$46</definedName>
    <definedName name="_xlnm._FilterDatabase" localSheetId="11" hidden="1">Assessment_Blueprints!$A$3:$N$12</definedName>
    <definedName name="_xlnm._FilterDatabase" localSheetId="12" hidden="1">Assessment_QBank!$A$3:$AA$118</definedName>
    <definedName name="_xlnm._FilterDatabase" localSheetId="13" hidden="1">SME_Review_Workflow!$A$3:$M$118</definedName>
    <definedName name="_xlnm._FilterDatabase" localSheetId="14" hidden="1">Assessment_Schedules!$A$3:$N$12</definedName>
    <definedName name="_xlnm._FilterDatabase" localSheetId="15" hidden="1">Users_Teams!$A$3:$N$39</definedName>
    <definedName name="_xlnm._FilterDatabase" localSheetId="16" hidden="1">Assessment_Assignments!$A$3:$J$39</definedName>
    <definedName name="_xlnm._FilterDatabase" localSheetId="17" hidden="1">Assessment_Results!$A$3:$N$39</definedName>
    <definedName name="_xlnm._FilterDatabase" localSheetId="18" hidden="1">User_Skill_Assessments!$A$3:$N$363</definedName>
    <definedName name="_xlnm._FilterDatabase" localSheetId="19" hidden="1">Skill_Gaps_TNI!$A$3:$O$363</definedName>
    <definedName name="_xlnm._FilterDatabase" localSheetId="20" hidden="1">Skill_Movement_History!$A$3:$K$263</definedName>
    <definedName name="_xlnm._FilterDatabase" localSheetId="21" hidden="1">Test_Personas!$A$3:$I$8</definedName>
    <definedName name="_xlnm._FilterDatabase" localSheetId="22" hidden="1">MVP_Acceptance!$A$3:$F$13</definedName>
    <definedName name="_xlnm._FilterDatabase" localSheetId="23" hidden="1">Privacy_RAI!$A$3:$F$11</definedName>
    <definedName name="_xlnm._FilterDatabase" localSheetId="24" hidden="1">Roadmap_Boundary!$A$3:$F$8</definedName>
    <definedName name="_xlnm._FilterDatabase" localSheetId="25" hidden="1">Validation_Checks!$A$3:$F$11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3" i="21" l="1"/>
  <c r="H262" i="21"/>
  <c r="H261" i="21"/>
  <c r="H260" i="21"/>
  <c r="H259" i="21"/>
  <c r="H258" i="21"/>
  <c r="H257" i="21"/>
  <c r="H256" i="21"/>
  <c r="H255" i="21"/>
  <c r="H254" i="21"/>
  <c r="H253" i="21"/>
  <c r="H252" i="21"/>
  <c r="H251" i="21"/>
  <c r="H250" i="21"/>
  <c r="H249" i="21"/>
  <c r="H248" i="21"/>
  <c r="H247" i="21"/>
  <c r="H246" i="21"/>
  <c r="H245" i="21"/>
  <c r="H244" i="21"/>
  <c r="H243" i="21"/>
  <c r="H242" i="21"/>
  <c r="H241" i="21"/>
  <c r="H240" i="21"/>
  <c r="H239" i="21"/>
  <c r="H238" i="21"/>
  <c r="H237" i="21"/>
  <c r="H236" i="21"/>
  <c r="H235" i="21"/>
  <c r="H234" i="21"/>
  <c r="H233" i="21"/>
  <c r="H232" i="21"/>
  <c r="H231" i="21"/>
  <c r="H230" i="21"/>
  <c r="H229" i="21"/>
  <c r="H228" i="21"/>
  <c r="H227" i="21"/>
  <c r="H226" i="21"/>
  <c r="H225" i="21"/>
  <c r="H224" i="21"/>
  <c r="H223" i="21"/>
  <c r="H222" i="21"/>
  <c r="H221" i="21"/>
  <c r="H220" i="21"/>
  <c r="H219" i="21"/>
  <c r="H218" i="21"/>
  <c r="H217" i="21"/>
  <c r="H216" i="21"/>
  <c r="H215" i="21"/>
  <c r="H214" i="21"/>
  <c r="H213" i="21"/>
  <c r="H212" i="21"/>
  <c r="H211" i="21"/>
  <c r="H210" i="21"/>
  <c r="H209" i="21"/>
  <c r="H208" i="21"/>
  <c r="H207" i="21"/>
  <c r="H206" i="21"/>
  <c r="H205" i="21"/>
  <c r="H204" i="21"/>
  <c r="H203" i="21"/>
  <c r="H202" i="21"/>
  <c r="H201" i="21"/>
  <c r="H200" i="21"/>
  <c r="H199" i="21"/>
  <c r="H198" i="21"/>
  <c r="H197" i="21"/>
  <c r="H196" i="21"/>
  <c r="H195" i="21"/>
  <c r="H194" i="21"/>
  <c r="H193" i="21"/>
  <c r="H192" i="21"/>
  <c r="H191" i="21"/>
  <c r="H190" i="21"/>
  <c r="H189" i="21"/>
  <c r="H188" i="21"/>
  <c r="H187" i="21"/>
  <c r="H186" i="21"/>
  <c r="H185" i="21"/>
  <c r="H184" i="21"/>
  <c r="H183" i="21"/>
  <c r="H182" i="21"/>
  <c r="H181" i="21"/>
  <c r="H180" i="21"/>
  <c r="H179" i="21"/>
  <c r="H178" i="21"/>
  <c r="H177" i="21"/>
  <c r="H176" i="21"/>
  <c r="H175" i="21"/>
  <c r="H174" i="21"/>
  <c r="H173" i="21"/>
  <c r="H172" i="21"/>
  <c r="H171" i="21"/>
  <c r="H170" i="21"/>
  <c r="H169" i="21"/>
  <c r="H168" i="21"/>
  <c r="H167" i="21"/>
  <c r="H166" i="21"/>
  <c r="H165" i="21"/>
  <c r="H164" i="21"/>
  <c r="H163" i="21"/>
  <c r="H162" i="21"/>
  <c r="H161" i="21"/>
  <c r="H160" i="21"/>
  <c r="H159" i="21"/>
  <c r="H158" i="21"/>
  <c r="H157" i="21"/>
  <c r="H156" i="21"/>
  <c r="H155" i="21"/>
  <c r="H154" i="21"/>
  <c r="H153" i="21"/>
  <c r="H152" i="21"/>
  <c r="H151" i="21"/>
  <c r="H150" i="21"/>
  <c r="H149" i="21"/>
  <c r="H148" i="21"/>
  <c r="H147" i="21"/>
  <c r="H146" i="21"/>
  <c r="H145" i="21"/>
  <c r="H144" i="21"/>
  <c r="H143" i="21"/>
  <c r="H142" i="21"/>
  <c r="H141" i="21"/>
  <c r="H140" i="21"/>
  <c r="H139" i="21"/>
  <c r="H138" i="21"/>
  <c r="H137" i="21"/>
  <c r="H136" i="21"/>
  <c r="H135" i="21"/>
  <c r="H134" i="21"/>
  <c r="H133" i="21"/>
  <c r="H132" i="21"/>
  <c r="H131" i="21"/>
  <c r="H130" i="21"/>
  <c r="H129" i="21"/>
  <c r="H128" i="21"/>
  <c r="H127" i="21"/>
  <c r="H126" i="21"/>
  <c r="H125" i="21"/>
  <c r="H124" i="21"/>
  <c r="H123" i="21"/>
  <c r="H122" i="21"/>
  <c r="H121" i="21"/>
  <c r="H120" i="21"/>
  <c r="H119" i="21"/>
  <c r="H118" i="21"/>
  <c r="H117" i="21"/>
  <c r="H116" i="21"/>
  <c r="H115" i="21"/>
  <c r="H114" i="21"/>
  <c r="H113" i="21"/>
  <c r="H112" i="21"/>
  <c r="H111" i="21"/>
  <c r="H110" i="21"/>
  <c r="H109" i="21"/>
  <c r="H108" i="21"/>
  <c r="H107" i="21"/>
  <c r="H106" i="21"/>
  <c r="H105" i="21"/>
  <c r="H104" i="21"/>
  <c r="H103" i="21"/>
  <c r="H102" i="21"/>
  <c r="H101" i="21"/>
  <c r="H100" i="21"/>
  <c r="H99" i="21"/>
  <c r="H98" i="21"/>
  <c r="H97" i="21"/>
  <c r="H96" i="21"/>
  <c r="H95" i="21"/>
  <c r="H94" i="21"/>
  <c r="H93" i="21"/>
  <c r="H92" i="21"/>
  <c r="H91" i="21"/>
  <c r="H90" i="21"/>
  <c r="H89" i="21"/>
  <c r="H88" i="21"/>
  <c r="H87" i="21"/>
  <c r="H86" i="21"/>
  <c r="H85" i="21"/>
  <c r="H84" i="21"/>
  <c r="H83" i="21"/>
  <c r="H82" i="21"/>
  <c r="H81" i="21"/>
  <c r="H80" i="21"/>
  <c r="H79" i="21"/>
  <c r="H78" i="21"/>
  <c r="H77" i="21"/>
  <c r="H76" i="21"/>
  <c r="H75" i="21"/>
  <c r="H74" i="21"/>
  <c r="H73" i="21"/>
  <c r="H72" i="21"/>
  <c r="H71" i="21"/>
  <c r="H70" i="21"/>
  <c r="H69" i="21"/>
  <c r="H68" i="21"/>
  <c r="H67" i="21"/>
  <c r="H66" i="21"/>
  <c r="H65" i="21"/>
  <c r="H64" i="21"/>
  <c r="H63" i="21"/>
  <c r="H62" i="21"/>
  <c r="H61" i="21"/>
  <c r="H60" i="21"/>
  <c r="H59" i="21"/>
  <c r="H58" i="21"/>
  <c r="H57" i="21"/>
  <c r="H56" i="21"/>
  <c r="H55" i="21"/>
  <c r="H54" i="21"/>
  <c r="H53" i="21"/>
  <c r="H52" i="21"/>
  <c r="H51" i="21"/>
  <c r="H50" i="21"/>
  <c r="H49" i="21"/>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2" i="21"/>
  <c r="H21" i="21"/>
  <c r="H20" i="21"/>
  <c r="H19" i="21"/>
  <c r="H18" i="21"/>
  <c r="H17" i="21"/>
  <c r="H16" i="21"/>
  <c r="H15" i="21"/>
  <c r="H14" i="21"/>
  <c r="H13" i="21"/>
  <c r="H12" i="21"/>
  <c r="H11" i="21"/>
  <c r="H10" i="21"/>
  <c r="H9" i="21"/>
  <c r="H8" i="21"/>
  <c r="H7" i="21"/>
  <c r="H6" i="21"/>
  <c r="H5" i="21"/>
  <c r="H4" i="21"/>
  <c r="K363" i="20"/>
  <c r="K362" i="20"/>
  <c r="K361" i="20"/>
  <c r="K360" i="20"/>
  <c r="K359" i="20"/>
  <c r="K358" i="20"/>
  <c r="K357" i="20"/>
  <c r="K356" i="20"/>
  <c r="K355" i="20"/>
  <c r="K354" i="20"/>
  <c r="K353" i="20"/>
  <c r="K352" i="20"/>
  <c r="K351" i="20"/>
  <c r="K350" i="20"/>
  <c r="K349" i="20"/>
  <c r="K348" i="20"/>
  <c r="K347" i="20"/>
  <c r="K346" i="20"/>
  <c r="K345" i="20"/>
  <c r="K344" i="20"/>
  <c r="K343" i="20"/>
  <c r="K342" i="20"/>
  <c r="K341" i="20"/>
  <c r="K340" i="20"/>
  <c r="K339" i="20"/>
  <c r="K338" i="20"/>
  <c r="K337" i="20"/>
  <c r="K336" i="20"/>
  <c r="K335" i="20"/>
  <c r="K334" i="20"/>
  <c r="K333" i="20"/>
  <c r="K332" i="20"/>
  <c r="K331" i="20"/>
  <c r="K330" i="20"/>
  <c r="K329" i="20"/>
  <c r="K328" i="20"/>
  <c r="K327" i="20"/>
  <c r="K326" i="20"/>
  <c r="K325" i="20"/>
  <c r="K324" i="20"/>
  <c r="K323" i="20"/>
  <c r="K322" i="20"/>
  <c r="K321" i="20"/>
  <c r="K320" i="20"/>
  <c r="K319" i="20"/>
  <c r="K318" i="20"/>
  <c r="K317" i="20"/>
  <c r="K316" i="20"/>
  <c r="K315" i="20"/>
  <c r="K314" i="20"/>
  <c r="K313" i="20"/>
  <c r="K312" i="20"/>
  <c r="K311" i="20"/>
  <c r="K310" i="20"/>
  <c r="K309" i="20"/>
  <c r="K308" i="20"/>
  <c r="K307" i="20"/>
  <c r="K306" i="20"/>
  <c r="K305" i="20"/>
  <c r="K304" i="20"/>
  <c r="K303" i="20"/>
  <c r="K302" i="20"/>
  <c r="K301" i="20"/>
  <c r="K300" i="20"/>
  <c r="K299" i="20"/>
  <c r="K298" i="20"/>
  <c r="K297" i="20"/>
  <c r="K296" i="20"/>
  <c r="K295" i="20"/>
  <c r="K294" i="20"/>
  <c r="K293" i="20"/>
  <c r="K292" i="20"/>
  <c r="K291" i="20"/>
  <c r="K290" i="20"/>
  <c r="K289" i="20"/>
  <c r="K288" i="20"/>
  <c r="K287" i="20"/>
  <c r="K286" i="20"/>
  <c r="K285" i="20"/>
  <c r="K284" i="20"/>
  <c r="K283" i="20"/>
  <c r="K282" i="20"/>
  <c r="K281" i="20"/>
  <c r="K280" i="20"/>
  <c r="K279" i="20"/>
  <c r="K278" i="20"/>
  <c r="K277" i="20"/>
  <c r="K276" i="20"/>
  <c r="K275" i="20"/>
  <c r="K274" i="20"/>
  <c r="K273" i="20"/>
  <c r="K272" i="20"/>
  <c r="K271" i="20"/>
  <c r="K270" i="20"/>
  <c r="K269" i="20"/>
  <c r="K268" i="20"/>
  <c r="K267" i="20"/>
  <c r="K266" i="20"/>
  <c r="K265" i="20"/>
  <c r="K264" i="20"/>
  <c r="K263" i="20"/>
  <c r="K262" i="20"/>
  <c r="K261" i="20"/>
  <c r="K260" i="20"/>
  <c r="K259" i="20"/>
  <c r="K258" i="20"/>
  <c r="K257" i="20"/>
  <c r="K256" i="20"/>
  <c r="K255" i="20"/>
  <c r="K254" i="20"/>
  <c r="K253" i="20"/>
  <c r="K252" i="20"/>
  <c r="K251" i="20"/>
  <c r="K250" i="20"/>
  <c r="K249" i="20"/>
  <c r="K248" i="20"/>
  <c r="K247" i="20"/>
  <c r="K246" i="20"/>
  <c r="K245" i="20"/>
  <c r="K244" i="20"/>
  <c r="K243" i="20"/>
  <c r="K242" i="20"/>
  <c r="K241" i="20"/>
  <c r="K240" i="20"/>
  <c r="K239" i="20"/>
  <c r="K238" i="20"/>
  <c r="K237" i="20"/>
  <c r="K236" i="20"/>
  <c r="K235" i="20"/>
  <c r="K234" i="20"/>
  <c r="K233" i="20"/>
  <c r="K232" i="20"/>
  <c r="K231" i="20"/>
  <c r="K230" i="20"/>
  <c r="K229" i="20"/>
  <c r="K228" i="20"/>
  <c r="K227" i="20"/>
  <c r="K226" i="20"/>
  <c r="K225" i="20"/>
  <c r="K224" i="20"/>
  <c r="K223" i="20"/>
  <c r="K222" i="20"/>
  <c r="K221" i="20"/>
  <c r="K220" i="20"/>
  <c r="K219" i="20"/>
  <c r="K218" i="20"/>
  <c r="K217" i="20"/>
  <c r="K216" i="20"/>
  <c r="K215" i="20"/>
  <c r="K214" i="20"/>
  <c r="K213" i="20"/>
  <c r="K212" i="20"/>
  <c r="K211" i="20"/>
  <c r="K210" i="20"/>
  <c r="K209" i="20"/>
  <c r="K208" i="20"/>
  <c r="K207" i="20"/>
  <c r="K206" i="20"/>
  <c r="K205" i="20"/>
  <c r="K204" i="20"/>
  <c r="K203" i="20"/>
  <c r="K202" i="20"/>
  <c r="K201" i="20"/>
  <c r="K200" i="20"/>
  <c r="K199" i="20"/>
  <c r="K198" i="20"/>
  <c r="K197" i="20"/>
  <c r="K196" i="20"/>
  <c r="K195" i="20"/>
  <c r="K194" i="20"/>
  <c r="K193" i="20"/>
  <c r="K192" i="20"/>
  <c r="K191" i="20"/>
  <c r="K190" i="20"/>
  <c r="K189" i="20"/>
  <c r="K188" i="20"/>
  <c r="K187" i="20"/>
  <c r="K186" i="20"/>
  <c r="K185" i="20"/>
  <c r="K184" i="20"/>
  <c r="K183" i="20"/>
  <c r="K182" i="20"/>
  <c r="K181" i="20"/>
  <c r="K180" i="20"/>
  <c r="K179" i="20"/>
  <c r="K178" i="20"/>
  <c r="K177" i="20"/>
  <c r="K176" i="20"/>
  <c r="K175" i="20"/>
  <c r="K174" i="20"/>
  <c r="K173" i="20"/>
  <c r="K172" i="20"/>
  <c r="K171" i="20"/>
  <c r="K170" i="20"/>
  <c r="K169" i="20"/>
  <c r="K168" i="20"/>
  <c r="K167" i="20"/>
  <c r="K166" i="20"/>
  <c r="K165" i="20"/>
  <c r="K164" i="20"/>
  <c r="K163" i="20"/>
  <c r="K162" i="20"/>
  <c r="K161" i="20"/>
  <c r="K160" i="20"/>
  <c r="K159" i="20"/>
  <c r="K158" i="20"/>
  <c r="K157" i="20"/>
  <c r="K156" i="20"/>
  <c r="K155" i="20"/>
  <c r="K154" i="20"/>
  <c r="K153" i="20"/>
  <c r="K152" i="20"/>
  <c r="K151" i="20"/>
  <c r="K150" i="20"/>
  <c r="K149" i="20"/>
  <c r="K148" i="20"/>
  <c r="K147" i="20"/>
  <c r="K146" i="20"/>
  <c r="K145" i="20"/>
  <c r="K144" i="20"/>
  <c r="K143" i="20"/>
  <c r="K142" i="20"/>
  <c r="K141" i="20"/>
  <c r="K140" i="20"/>
  <c r="K139" i="20"/>
  <c r="K138" i="20"/>
  <c r="K137" i="20"/>
  <c r="K136" i="20"/>
  <c r="K135" i="20"/>
  <c r="K134" i="20"/>
  <c r="K133" i="20"/>
  <c r="K132" i="20"/>
  <c r="K131" i="20"/>
  <c r="K130" i="20"/>
  <c r="K129" i="20"/>
  <c r="K128" i="20"/>
  <c r="K127" i="20"/>
  <c r="K126" i="20"/>
  <c r="K125" i="20"/>
  <c r="K124" i="20"/>
  <c r="K123" i="20"/>
  <c r="K122" i="20"/>
  <c r="K121" i="20"/>
  <c r="K120" i="20"/>
  <c r="K119" i="20"/>
  <c r="K118" i="20"/>
  <c r="K117" i="20"/>
  <c r="K116" i="20"/>
  <c r="K115" i="20"/>
  <c r="K114" i="20"/>
  <c r="K113" i="20"/>
  <c r="K112" i="20"/>
  <c r="K111" i="20"/>
  <c r="K110" i="20"/>
  <c r="K109" i="20"/>
  <c r="K108" i="20"/>
  <c r="K107" i="20"/>
  <c r="K106" i="20"/>
  <c r="K105" i="20"/>
  <c r="K104" i="20"/>
  <c r="K103" i="20"/>
  <c r="K102" i="20"/>
  <c r="K101" i="20"/>
  <c r="K100" i="20"/>
  <c r="K99" i="20"/>
  <c r="K98" i="20"/>
  <c r="K97" i="20"/>
  <c r="K96" i="20"/>
  <c r="K95" i="20"/>
  <c r="K94" i="20"/>
  <c r="K93" i="20"/>
  <c r="K92" i="20"/>
  <c r="K91" i="20"/>
  <c r="K90" i="20"/>
  <c r="K89" i="20"/>
  <c r="K88" i="20"/>
  <c r="K87" i="20"/>
  <c r="K86" i="20"/>
  <c r="K85" i="20"/>
  <c r="K84" i="20"/>
  <c r="K83" i="20"/>
  <c r="K82" i="20"/>
  <c r="K81" i="20"/>
  <c r="K80" i="20"/>
  <c r="K79" i="20"/>
  <c r="K78" i="20"/>
  <c r="K77" i="20"/>
  <c r="K76" i="20"/>
  <c r="K75" i="20"/>
  <c r="K74" i="20"/>
  <c r="K73" i="20"/>
  <c r="K72" i="20"/>
  <c r="K71" i="20"/>
  <c r="K70" i="20"/>
  <c r="K69" i="20"/>
  <c r="K68" i="20"/>
  <c r="K67" i="20"/>
  <c r="K66" i="20"/>
  <c r="K65" i="20"/>
  <c r="K64" i="20"/>
  <c r="K63" i="20"/>
  <c r="K62" i="20"/>
  <c r="K61" i="20"/>
  <c r="K60" i="20"/>
  <c r="K59" i="20"/>
  <c r="K58" i="20"/>
  <c r="K57"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K11" i="20"/>
  <c r="K10" i="20"/>
  <c r="K9" i="20"/>
  <c r="K8" i="20"/>
  <c r="K7" i="20"/>
  <c r="K6" i="20"/>
  <c r="K5" i="20"/>
  <c r="K4" i="20"/>
  <c r="K39" i="18"/>
  <c r="K38" i="18"/>
  <c r="K37" i="18"/>
  <c r="K36" i="18"/>
  <c r="K35" i="18"/>
  <c r="K34" i="18"/>
  <c r="K33" i="18"/>
  <c r="K32" i="18"/>
  <c r="K31" i="18"/>
  <c r="K30" i="18"/>
  <c r="K29" i="18"/>
  <c r="K28" i="18"/>
  <c r="K27" i="18"/>
  <c r="K26" i="18"/>
  <c r="K25" i="18"/>
  <c r="K24" i="18"/>
  <c r="K23" i="18"/>
  <c r="K22" i="18"/>
  <c r="K21" i="18"/>
  <c r="K20" i="18"/>
  <c r="K19" i="18"/>
  <c r="K18" i="18"/>
  <c r="K17" i="18"/>
  <c r="K16" i="18"/>
  <c r="K15" i="18"/>
  <c r="K14" i="18"/>
  <c r="K13" i="18"/>
  <c r="K12" i="18"/>
  <c r="K11" i="18"/>
  <c r="K10" i="18"/>
  <c r="K9" i="18"/>
  <c r="K8" i="18"/>
  <c r="K7" i="18"/>
  <c r="K6" i="18"/>
  <c r="K5" i="18"/>
  <c r="K4" i="18"/>
  <c r="X118" i="13"/>
  <c r="X117" i="13"/>
  <c r="X116" i="13"/>
  <c r="X115" i="13"/>
  <c r="X114" i="13"/>
  <c r="X113" i="13"/>
  <c r="X112" i="13"/>
  <c r="X111" i="13"/>
  <c r="X110" i="13"/>
  <c r="X109" i="13"/>
  <c r="G5" i="15" s="1"/>
  <c r="X108" i="13"/>
  <c r="X107" i="13"/>
  <c r="X106" i="13"/>
  <c r="X105" i="13"/>
  <c r="X104" i="13"/>
  <c r="X103" i="13"/>
  <c r="X102" i="13"/>
  <c r="X101" i="13"/>
  <c r="X100" i="13"/>
  <c r="X99" i="13"/>
  <c r="G6" i="15" s="1"/>
  <c r="X98" i="13"/>
  <c r="X97" i="13"/>
  <c r="X96" i="13"/>
  <c r="X95" i="13"/>
  <c r="X94" i="13"/>
  <c r="X93" i="13"/>
  <c r="X92" i="13"/>
  <c r="X91" i="13"/>
  <c r="X90" i="13"/>
  <c r="X89" i="13"/>
  <c r="G4" i="15" s="1"/>
  <c r="X88" i="13"/>
  <c r="X87" i="13"/>
  <c r="X86" i="13"/>
  <c r="X85" i="13"/>
  <c r="X84" i="13"/>
  <c r="X83" i="13"/>
  <c r="X82" i="13"/>
  <c r="X81" i="13"/>
  <c r="X80" i="13"/>
  <c r="X79" i="13"/>
  <c r="G12" i="15" s="1"/>
  <c r="X78" i="13"/>
  <c r="X77" i="13"/>
  <c r="X76" i="13"/>
  <c r="X75" i="13"/>
  <c r="X74" i="13"/>
  <c r="X73" i="13"/>
  <c r="X72" i="13"/>
  <c r="X71" i="13"/>
  <c r="X70" i="13"/>
  <c r="X69" i="13"/>
  <c r="G10" i="15" s="1"/>
  <c r="X68" i="13"/>
  <c r="X67" i="13"/>
  <c r="X66" i="13"/>
  <c r="X65" i="13"/>
  <c r="X64" i="13"/>
  <c r="X63" i="13"/>
  <c r="X62" i="13"/>
  <c r="X61" i="13"/>
  <c r="X60" i="13"/>
  <c r="X59" i="13"/>
  <c r="G11" i="15" s="1"/>
  <c r="X58" i="13"/>
  <c r="X57" i="13"/>
  <c r="X56" i="13"/>
  <c r="X55" i="13"/>
  <c r="X54" i="13"/>
  <c r="X53" i="13"/>
  <c r="X52" i="13"/>
  <c r="X51" i="13"/>
  <c r="X50" i="13"/>
  <c r="X49" i="13"/>
  <c r="X48" i="13"/>
  <c r="X47" i="13"/>
  <c r="X46" i="13"/>
  <c r="X45" i="13"/>
  <c r="G8" i="15" s="1"/>
  <c r="X44" i="13"/>
  <c r="X43" i="13"/>
  <c r="X42" i="13"/>
  <c r="X41" i="13"/>
  <c r="X40" i="13"/>
  <c r="X39" i="13"/>
  <c r="X38" i="13"/>
  <c r="X37" i="13"/>
  <c r="X36" i="13"/>
  <c r="X35" i="13"/>
  <c r="X34" i="13"/>
  <c r="X33" i="13"/>
  <c r="X32" i="13"/>
  <c r="X31" i="13"/>
  <c r="X30" i="13"/>
  <c r="X29" i="13"/>
  <c r="X28" i="13"/>
  <c r="X27" i="13"/>
  <c r="X26" i="13"/>
  <c r="X25" i="13"/>
  <c r="X24" i="13"/>
  <c r="X23" i="13"/>
  <c r="X22" i="13"/>
  <c r="X21" i="13"/>
  <c r="X20" i="13"/>
  <c r="X19" i="13"/>
  <c r="X18" i="13"/>
  <c r="X17" i="13"/>
  <c r="X16" i="13"/>
  <c r="X15" i="13"/>
  <c r="X14" i="13"/>
  <c r="X13" i="13"/>
  <c r="X12" i="13"/>
  <c r="X11" i="13"/>
  <c r="X10" i="13"/>
  <c r="X9" i="13"/>
  <c r="X8" i="13"/>
  <c r="X7" i="13"/>
  <c r="X6" i="13"/>
  <c r="X5" i="13"/>
  <c r="G9" i="15" s="1"/>
  <c r="X4" i="13"/>
  <c r="G7"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6" authorId="0" shapeId="0" xr:uid="{00000000-0006-0000-0000-000001000000}">
      <text>
        <r>
          <rPr>
            <sz val="11"/>
            <color theme="1"/>
            <rFont val="Calibri"/>
            <family val="2"/>
            <scheme val="minor"/>
          </rPr>
          <t>All source materials are internal user-provided attachments in the current conversation. Use Source_Analysis for exact file names and how each was used.</t>
        </r>
      </text>
    </comment>
  </commentList>
</comments>
</file>

<file path=xl/sharedStrings.xml><?xml version="1.0" encoding="utf-8"?>
<sst xmlns="http://schemas.openxmlformats.org/spreadsheetml/2006/main" count="19425" uniqueCount="2902">
  <si>
    <t>README Architecture</t>
  </si>
  <si>
    <t>Synthetic Hackfest Test Data - v2 focused on Talent360i Auto Assessment Generation with SME approval and scheduling</t>
  </si>
  <si>
    <t>item</t>
  </si>
  <si>
    <t>details</t>
  </si>
  <si>
    <t>Dataset name</t>
  </si>
  <si>
    <t>Talent360i Auto Assessment Generation Hackfest Dataset v2</t>
  </si>
  <si>
    <t>Purpose</t>
  </si>
  <si>
    <t>Privacy-safe relational dataset for demonstrating auto assessment generation, SME approval, scheduling, synthetic assessment results, current level and TNI recommendations.</t>
  </si>
  <si>
    <t>Core workflow</t>
  </si>
  <si>
    <t>Role/JD + skill definitions + role-skill map + approved questions -&gt; AI agent drafts question bank -&gt; SME approves/edits/rejects -&gt; scheduler launches assessment -&gt; synthetic results calculate current level and TNI.</t>
  </si>
  <si>
    <t>MVP boundary</t>
  </si>
  <si>
    <t>Focused on Talent360i assessment generation. Broader SkillPath evidence submission, manager validation, readiness and succession signals are acknowledged as roadmap only.</t>
  </si>
  <si>
    <t>Source basis</t>
  </si>
  <si>
    <t>Actual FinOps role profiles, JDs, skill dictionaries, role-to-skill matrices, approved AP/T&amp;E assessment and skill gap/training materials were analyzed.</t>
  </si>
  <si>
    <t>Privacy label</t>
  </si>
  <si>
    <t>All people, assignment, results, current-level and movement records are Synthetic Hackfest Test Data.</t>
  </si>
  <si>
    <t>Included towers</t>
  </si>
  <si>
    <t>R2R, AP/P2P, O2C</t>
  </si>
  <si>
    <t>Selected roles</t>
  </si>
  <si>
    <t>Banking Preparer Job (Preparation + Cash Posting), GA Preparer Job (Preparation-only), Consolidation Preparer Job (Execution + Pack Prep), P2P Lead, P2P Senior Associate, T&amp;E Lead, Billing Team Lead, Associate Revenue Controller, Senior Revenue Associate</t>
  </si>
  <si>
    <t>Synthetic population</t>
  </si>
  <si>
    <t>36 synthetic users, 4 per selected role</t>
  </si>
  <si>
    <t>Human-in-loop rule</t>
  </si>
  <si>
    <t>No AI-generated question is eligible for scheduling unless SME review status is Approved.</t>
  </si>
  <si>
    <t>Workbook structure</t>
  </si>
  <si>
    <t>#</t>
  </si>
  <si>
    <t>Sheet</t>
  </si>
  <si>
    <t>Rows</t>
  </si>
  <si>
    <t>Columns</t>
  </si>
  <si>
    <t>README_Architecture</t>
  </si>
  <si>
    <t>Source_Analysis</t>
  </si>
  <si>
    <t>Data_Dictionary</t>
  </si>
  <si>
    <t>Relationship_Map</t>
  </si>
  <si>
    <t>Role_Master</t>
  </si>
  <si>
    <t>Role_Descriptions</t>
  </si>
  <si>
    <t>Skill_Master</t>
  </si>
  <si>
    <t>Proficiency_Levels</t>
  </si>
  <si>
    <t>Role_Skill_Map</t>
  </si>
  <si>
    <t>Training_Catalogue</t>
  </si>
  <si>
    <t>Training_Skill_Map</t>
  </si>
  <si>
    <t>Assessment_Blueprints</t>
  </si>
  <si>
    <t>Assessment_QBank</t>
  </si>
  <si>
    <t>SME_Review_Workflow</t>
  </si>
  <si>
    <t>Assessment_Schedules</t>
  </si>
  <si>
    <t>Users_Teams</t>
  </si>
  <si>
    <t>Assessment_Assignments</t>
  </si>
  <si>
    <t>Assessment_Results</t>
  </si>
  <si>
    <t>User_Skill_Assessments</t>
  </si>
  <si>
    <t>Skill_Gaps_TNI</t>
  </si>
  <si>
    <t>Skill_Movement_History</t>
  </si>
  <si>
    <t>Test_Personas</t>
  </si>
  <si>
    <t>MVP_Acceptance</t>
  </si>
  <si>
    <t>Privacy_RAI</t>
  </si>
  <si>
    <t>Roadmap_Boundary</t>
  </si>
  <si>
    <t>Validation_Checks</t>
  </si>
  <si>
    <t>Source Analysis</t>
  </si>
  <si>
    <t>source_id</t>
  </si>
  <si>
    <t>source_name</t>
  </si>
  <si>
    <t>data_used</t>
  </si>
  <si>
    <t>dataset_usage</t>
  </si>
  <si>
    <t>notes</t>
  </si>
  <si>
    <t>source_file</t>
  </si>
  <si>
    <t>data_label</t>
  </si>
  <si>
    <t>SRC-01</t>
  </si>
  <si>
    <t>R2R role profiles PPT</t>
  </si>
  <si>
    <t>R2R selected role summaries, responsibilities, outputs, tools and top critical skills</t>
  </si>
  <si>
    <t>Used for role descriptions and assessment prompt context</t>
  </si>
  <si>
    <t>Directly supports R2R Banking Preparer, GA Preparer and Consolidation Preparer</t>
  </si>
  <si>
    <t>R2R_Role_Profiles_ALL43 04 Mar(1).pptx</t>
  </si>
  <si>
    <t>Source lineage - no employee data</t>
  </si>
  <si>
    <t>SRC-02</t>
  </si>
  <si>
    <t>R2R role-to-skill mapping XLSX</t>
  </si>
  <si>
    <t>R2R skill dictionary, proficiency indicators and role-to-skill target levels</t>
  </si>
  <si>
    <t>Used for Skill_Master, Role_Skill_Map and AI question generation</t>
  </si>
  <si>
    <t>Actual framework structure; no employee data</t>
  </si>
  <si>
    <t>RTR_Roles_to_Skills_Mapping_Updated_2701.xlsx</t>
  </si>
  <si>
    <t>SRC-03</t>
  </si>
  <si>
    <t>AP role profiles PPT</t>
  </si>
  <si>
    <t>AP/P2P B3/B4 role summaries, outputs and top skills</t>
  </si>
  <si>
    <t>Supports P2P Lead, P2P Senior Associate and T&amp;E Lead</t>
  </si>
  <si>
    <t>AP_Role_Profiles_18Roles 24Feb(2).pptx</t>
  </si>
  <si>
    <t>SRC-04</t>
  </si>
  <si>
    <t>AP roles matrix XLSX</t>
  </si>
  <si>
    <t>AP skill dictionary, proficiency indicators and role-to-skill target levels</t>
  </si>
  <si>
    <t>Used for Skill_Master and Role_Skill_Map</t>
  </si>
  <si>
    <t>AP_Roles_v1.0_UPDATED_with_Matrix -0128.xlsx</t>
  </si>
  <si>
    <t>SRC-05</t>
  </si>
  <si>
    <t>AP/T&amp;E Lead hiring assessment DOCX</t>
  </si>
  <si>
    <t>24 case-based MCQs, pass criteria, critical fail rules</t>
  </si>
  <si>
    <t>Loaded into Assessment_QBank as approved source questions</t>
  </si>
  <si>
    <t>Used as approved content where available</t>
  </si>
  <si>
    <t>AP and T&amp;E Lead B4 P4 hiring assessment 30 Mar.docx</t>
  </si>
  <si>
    <t>SRC-06</t>
  </si>
  <si>
    <t>P2P Associate JD DOCX</t>
  </si>
  <si>
    <t>Position summary, responsibilities and qualification/skill cues</t>
  </si>
  <si>
    <t>Analyzed as reference-only B2 source; not selected for B3/B4 synthetic users</t>
  </si>
  <si>
    <t>Useful for lower-level assessment expansion</t>
  </si>
  <si>
    <t>RD044 - P2P Associate 27Mar.docx</t>
  </si>
  <si>
    <t>SRC-07</t>
  </si>
  <si>
    <t>O2C role matrix XLSX</t>
  </si>
  <si>
    <t>O2C skill dictionary, proficiency indicators and role-to-skill target levels</t>
  </si>
  <si>
    <t>NIQ_O2C_Skills_Dictionary_with_Role_Matrix_Mapped.xlsx</t>
  </si>
  <si>
    <t>SRC-08</t>
  </si>
  <si>
    <t>Associate Revenue Controller JD DOCX</t>
  </si>
  <si>
    <t>Revenue controller role summary, controls, reconciliation and evidence requirements</t>
  </si>
  <si>
    <t>Used for O2C P4 role context and question generation</t>
  </si>
  <si>
    <t>P4 specialist included as adjacent to B4 capability layer</t>
  </si>
  <si>
    <t>Associate Revenue Controller (P4) JD 30Mar.docx</t>
  </si>
  <si>
    <t>SRC-09</t>
  </si>
  <si>
    <t>Credit Controller JD DOCX</t>
  </si>
  <si>
    <t>Collections outreach, case management, dispute routing, SLA and documentation cues</t>
  </si>
  <si>
    <t>Analyzed as reference-only source</t>
  </si>
  <si>
    <t>Useful for later B2 expansion</t>
  </si>
  <si>
    <t>Credit Controller JD 31Mar.docx</t>
  </si>
  <si>
    <t>SRC-10</t>
  </si>
  <si>
    <t>Cash Application Associate JD DOCX</t>
  </si>
  <si>
    <t>Receipt posting, remittance matching, documentation and SLA cues</t>
  </si>
  <si>
    <t>RD152 - Cash application associate JD 31Mar.docx</t>
  </si>
  <si>
    <t>SRC-11</t>
  </si>
  <si>
    <t>Skill Gap Analysis XLSX</t>
  </si>
  <si>
    <t>Training topics, level groups, risk, capability gaps and training assessment log</t>
  </si>
  <si>
    <t>Used for Training_Catalogue, Training_Skill_Map and TNI recommendations</t>
  </si>
  <si>
    <t>Training/TNI structure; no employee data</t>
  </si>
  <si>
    <t>Skill Gap analysis V1.0.xlsx</t>
  </si>
  <si>
    <t>SRC-12</t>
  </si>
  <si>
    <t>Capability360 feature spec</t>
  </si>
  <si>
    <t>Hackfest scope, Talent360i modules, question bank, assessment and governance requirements</t>
  </si>
  <si>
    <t>Used to narrow this version to Auto Assessment Generation with SME approval and scheduling</t>
  </si>
  <si>
    <t>Governance and feature intent</t>
  </si>
  <si>
    <t>Capability360_Feature_Spec.docx</t>
  </si>
  <si>
    <t>SRC-13</t>
  </si>
  <si>
    <t>Project SkillPath AI document</t>
  </si>
  <si>
    <t>Human-in-the-loop, role-skill-learning-evidence-validation design principles</t>
  </si>
  <si>
    <t>Used for guardrails and architecture framing</t>
  </si>
  <si>
    <t>Broad SkillPath items kept as roadmap only</t>
  </si>
  <si>
    <t>Project SkillPath AI.docx</t>
  </si>
  <si>
    <t>Data Dictionary</t>
  </si>
  <si>
    <t>sheet_name</t>
  </si>
  <si>
    <t>field_name</t>
  </si>
  <si>
    <t>definition</t>
  </si>
  <si>
    <t>data_classification</t>
  </si>
  <si>
    <t>Item.</t>
  </si>
  <si>
    <t>Control / metadata</t>
  </si>
  <si>
    <t>Details.</t>
  </si>
  <si>
    <t>Source id.</t>
  </si>
  <si>
    <t>Source name.</t>
  </si>
  <si>
    <t>Data used.</t>
  </si>
  <si>
    <t>Dataset usage.</t>
  </si>
  <si>
    <t>Notes.</t>
  </si>
  <si>
    <t>Source file.</t>
  </si>
  <si>
    <t>Classification label indicating source-derived framework or synthetic hackfest data.</t>
  </si>
  <si>
    <t>role_id</t>
  </si>
  <si>
    <t>Unique role key generated from actual role title.</t>
  </si>
  <si>
    <t>Actual FinOps Framework Structure - no employee data</t>
  </si>
  <si>
    <t>tower</t>
  </si>
  <si>
    <t>Tower.</t>
  </si>
  <si>
    <t>process_group</t>
  </si>
  <si>
    <t>Process group.</t>
  </si>
  <si>
    <t>role_name</t>
  </si>
  <si>
    <t>Role name.</t>
  </si>
  <si>
    <t>role_grade</t>
  </si>
  <si>
    <t>Role grade.</t>
  </si>
  <si>
    <t>level_group</t>
  </si>
  <si>
    <t>Level group.</t>
  </si>
  <si>
    <t>mvp_use</t>
  </si>
  <si>
    <t>Mvp use.</t>
  </si>
  <si>
    <t>synthetic_users_per_role</t>
  </si>
  <si>
    <t>Synthetic users per role.</t>
  </si>
  <si>
    <t>source_role_id</t>
  </si>
  <si>
    <t>Source role id.</t>
  </si>
  <si>
    <t>source_sheet</t>
  </si>
  <si>
    <t>Source sheet.</t>
  </si>
  <si>
    <t>source_type</t>
  </si>
  <si>
    <t>Source type.</t>
  </si>
  <si>
    <t>role_summary_or_positioning</t>
  </si>
  <si>
    <t>Role summary or positioning.</t>
  </si>
  <si>
    <t>responsibility_extract</t>
  </si>
  <si>
    <t>Responsibility extract.</t>
  </si>
  <si>
    <t>output_or_success_measure_extract</t>
  </si>
  <si>
    <t>Output or success measure extract.</t>
  </si>
  <si>
    <t>skills_or_capabilities_extract</t>
  </si>
  <si>
    <t>Skills or capabilities extract.</t>
  </si>
  <si>
    <t>selection_status</t>
  </si>
  <si>
    <t>Selection status.</t>
  </si>
  <si>
    <t>skill_id</t>
  </si>
  <si>
    <t>Unique skill key generated from actual skill title and tower.</t>
  </si>
  <si>
    <t>skill</t>
  </si>
  <si>
    <t>Skill.</t>
  </si>
  <si>
    <t>capability</t>
  </si>
  <si>
    <t>Capability.</t>
  </si>
  <si>
    <t>L1_indicator</t>
  </si>
  <si>
    <t>L1 indicator.</t>
  </si>
  <si>
    <t>L2_indicator</t>
  </si>
  <si>
    <t>L2 indicator.</t>
  </si>
  <si>
    <t>L3_indicator</t>
  </si>
  <si>
    <t>L3 indicator.</t>
  </si>
  <si>
    <t>L4_indicator</t>
  </si>
  <si>
    <t>L4 indicator.</t>
  </si>
  <si>
    <t>L5_indicator</t>
  </si>
  <si>
    <t>L5 indicator.</t>
  </si>
  <si>
    <t>level</t>
  </si>
  <si>
    <t>Level.</t>
  </si>
  <si>
    <t>level_name</t>
  </si>
  <si>
    <t>Level name.</t>
  </si>
  <si>
    <t>behavior_indicator</t>
  </si>
  <si>
    <t>Behavior indicator.</t>
  </si>
  <si>
    <t>assessment_design_interpretation</t>
  </si>
  <si>
    <t>Assessment design interpretation.</t>
  </si>
  <si>
    <t>source_mapping</t>
  </si>
  <si>
    <t>Source mapping.</t>
  </si>
  <si>
    <t>role_skill_id</t>
  </si>
  <si>
    <t>Role skill id.</t>
  </si>
  <si>
    <t>target_proficiency_level</t>
  </si>
  <si>
    <t>Target proficiency level.</t>
  </si>
  <si>
    <t>target_band</t>
  </si>
  <si>
    <t>Target band.</t>
  </si>
  <si>
    <t>course_id</t>
  </si>
  <si>
    <t>Course id.</t>
  </si>
  <si>
    <t>course_title</t>
  </si>
  <si>
    <t>Course title.</t>
  </si>
  <si>
    <t>delivery_type</t>
  </si>
  <si>
    <t>Delivery type.</t>
  </si>
  <si>
    <t>risk_level</t>
  </si>
  <si>
    <t>Risk level.</t>
  </si>
  <si>
    <t>spoc_role</t>
  </si>
  <si>
    <t>Spoc role.</t>
  </si>
  <si>
    <t>training_skill_map_id</t>
  </si>
  <si>
    <t>Training skill map id.</t>
  </si>
  <si>
    <t>mapping_confidence</t>
  </si>
  <si>
    <t>Mapping confidence.</t>
  </si>
  <si>
    <t>blueprint_id</t>
  </si>
  <si>
    <t>Assessment blueprint key.</t>
  </si>
  <si>
    <t>assessment_name</t>
  </si>
  <si>
    <t>Assessment name.</t>
  </si>
  <si>
    <t>assessment_purpose</t>
  </si>
  <si>
    <t>Assessment purpose.</t>
  </si>
  <si>
    <t>duration_minutes</t>
  </si>
  <si>
    <t>Duration minutes.</t>
  </si>
  <si>
    <t>target_question_count</t>
  </si>
  <si>
    <t>Target question count.</t>
  </si>
  <si>
    <t>skill_count</t>
  </si>
  <si>
    <t>Skill count.</t>
  </si>
  <si>
    <t>generation_basis</t>
  </si>
  <si>
    <t>Generation basis.</t>
  </si>
  <si>
    <t>human_in_loop</t>
  </si>
  <si>
    <t>Human in loop.</t>
  </si>
  <si>
    <t>mvp_scope</t>
  </si>
  <si>
    <t>Mvp scope.</t>
  </si>
  <si>
    <t>question_id</t>
  </si>
  <si>
    <t>Question bank key.</t>
  </si>
  <si>
    <t>question_source</t>
  </si>
  <si>
    <t>Question source.</t>
  </si>
  <si>
    <t>source_question_reference</t>
  </si>
  <si>
    <t>Source question reference.</t>
  </si>
  <si>
    <t>question_type</t>
  </si>
  <si>
    <t>Question type.</t>
  </si>
  <si>
    <t>question_text</t>
  </si>
  <si>
    <t>Question text.</t>
  </si>
  <si>
    <t>option_a</t>
  </si>
  <si>
    <t>Option a.</t>
  </si>
  <si>
    <t>option_b</t>
  </si>
  <si>
    <t>Option b.</t>
  </si>
  <si>
    <t>option_c</t>
  </si>
  <si>
    <t>Option c.</t>
  </si>
  <si>
    <t>option_d</t>
  </si>
  <si>
    <t>Option d.</t>
  </si>
  <si>
    <t>correct_option</t>
  </si>
  <si>
    <t>Correct option.</t>
  </si>
  <si>
    <t>critical_flag</t>
  </si>
  <si>
    <t>Critical flag.</t>
  </si>
  <si>
    <t>difficulty</t>
  </si>
  <si>
    <t>Difficulty.</t>
  </si>
  <si>
    <t>ai_confidence</t>
  </si>
  <si>
    <t>Ai confidence.</t>
  </si>
  <si>
    <t>sme_review_status</t>
  </si>
  <si>
    <t>Sme review status.</t>
  </si>
  <si>
    <t>sme_action_required</t>
  </si>
  <si>
    <t>Sme action required.</t>
  </si>
  <si>
    <t>approved_for_schedule</t>
  </si>
  <si>
    <t>Approved for schedule.</t>
  </si>
  <si>
    <t>schedule_scope</t>
  </si>
  <si>
    <t>Schedule scope.</t>
  </si>
  <si>
    <t>generated_prompt_context</t>
  </si>
  <si>
    <t>Generated prompt context.</t>
  </si>
  <si>
    <t>eligible_formula_note</t>
  </si>
  <si>
    <t>Eligible formula note.</t>
  </si>
  <si>
    <t>review_id</t>
  </si>
  <si>
    <t>Review id.</t>
  </si>
  <si>
    <t>sme_reviewer_role</t>
  </si>
  <si>
    <t>Sme reviewer role.</t>
  </si>
  <si>
    <t>review_round</t>
  </si>
  <si>
    <t>Review round.</t>
  </si>
  <si>
    <t>sme_decision</t>
  </si>
  <si>
    <t>Sme decision.</t>
  </si>
  <si>
    <t>sme_comments_synthetic</t>
  </si>
  <si>
    <t>Sme comments synthetic.</t>
  </si>
  <si>
    <t>review_date_synthetic</t>
  </si>
  <si>
    <t>Review date synthetic.</t>
  </si>
  <si>
    <t>human_in_loop_gate</t>
  </si>
  <si>
    <t>Human in loop gate.</t>
  </si>
  <si>
    <t>schedule_id</t>
  </si>
  <si>
    <t>Schedule id.</t>
  </si>
  <si>
    <t>approved_question_count</t>
  </si>
  <si>
    <t>Approved question count.</t>
  </si>
  <si>
    <t>schedule_status</t>
  </si>
  <si>
    <t>Schedule status.</t>
  </si>
  <si>
    <t>planned_launch_date</t>
  </si>
  <si>
    <t>Planned launch date.</t>
  </si>
  <si>
    <t>planned_close_date</t>
  </si>
  <si>
    <t>Planned close date.</t>
  </si>
  <si>
    <t>cohort_name</t>
  </si>
  <si>
    <t>Cohort name.</t>
  </si>
  <si>
    <t>scheduler_role</t>
  </si>
  <si>
    <t>Scheduler role.</t>
  </si>
  <si>
    <t>formula_check_note</t>
  </si>
  <si>
    <t>Formula check note.</t>
  </si>
  <si>
    <t>user_id</t>
  </si>
  <si>
    <t>Synthetic user key. No real employee ID.</t>
  </si>
  <si>
    <t>Synthetic Hackfest Test Data</t>
  </si>
  <si>
    <t>Do not use for production decisions.</t>
  </si>
  <si>
    <t>synthetic_name</t>
  </si>
  <si>
    <t>Synthetic display name only.</t>
  </si>
  <si>
    <t>team_id</t>
  </si>
  <si>
    <t>Team id.</t>
  </si>
  <si>
    <t>synthetic_manager_id</t>
  </si>
  <si>
    <t>Synthetic manager id.</t>
  </si>
  <si>
    <t>cohort</t>
  </si>
  <si>
    <t>Cohort.</t>
  </si>
  <si>
    <t>person_data_note</t>
  </si>
  <si>
    <t>Person data note.</t>
  </si>
  <si>
    <t>team_name</t>
  </si>
  <si>
    <t>Team name.</t>
  </si>
  <si>
    <t>synthetic_manager_name</t>
  </si>
  <si>
    <t>Synthetic manager name.</t>
  </si>
  <si>
    <t>location</t>
  </si>
  <si>
    <t>Location.</t>
  </si>
  <si>
    <t>assignment_id</t>
  </si>
  <si>
    <t>Assignment id.</t>
  </si>
  <si>
    <t>assigned_date</t>
  </si>
  <si>
    <t>Assigned date.</t>
  </si>
  <si>
    <t>due_date</t>
  </si>
  <si>
    <t>Due date.</t>
  </si>
  <si>
    <t>assignment_status</t>
  </si>
  <si>
    <t>Assignment status.</t>
  </si>
  <si>
    <t>result_id</t>
  </si>
  <si>
    <t>Result id.</t>
  </si>
  <si>
    <t>score_pct</t>
  </si>
  <si>
    <t>Score pct.</t>
  </si>
  <si>
    <t>pass_threshold_pct</t>
  </si>
  <si>
    <t>Pass threshold pct.</t>
  </si>
  <si>
    <t>critical_fail_flag</t>
  </si>
  <si>
    <t>Critical fail flag.</t>
  </si>
  <si>
    <t>pass_fail_formula</t>
  </si>
  <si>
    <t>Pass fail formula.</t>
  </si>
  <si>
    <t>recommended_current_level</t>
  </si>
  <si>
    <t>Recommended current level.</t>
  </si>
  <si>
    <t>result_status</t>
  </si>
  <si>
    <t>Result status.</t>
  </si>
  <si>
    <t>ai_result_note</t>
  </si>
  <si>
    <t>Ai result note.</t>
  </si>
  <si>
    <t>user_skill_assessment_id</t>
  </si>
  <si>
    <t>User skill assessment id.</t>
  </si>
  <si>
    <t>target_level</t>
  </si>
  <si>
    <t>Target level.</t>
  </si>
  <si>
    <t>assessed_current_level</t>
  </si>
  <si>
    <t>Assessed current level.</t>
  </si>
  <si>
    <t>assessment_status</t>
  </si>
  <si>
    <t>Assessment status.</t>
  </si>
  <si>
    <t>calibration_status</t>
  </si>
  <si>
    <t>Calibration status.</t>
  </si>
  <si>
    <t>source_result_id</t>
  </si>
  <si>
    <t>Source result id.</t>
  </si>
  <si>
    <t>gap_id</t>
  </si>
  <si>
    <t>Gap id.</t>
  </si>
  <si>
    <t>current_level</t>
  </si>
  <si>
    <t>Current level.</t>
  </si>
  <si>
    <t>gap_level_formula</t>
  </si>
  <si>
    <t>Gap level formula.</t>
  </si>
  <si>
    <t>gap_severity</t>
  </si>
  <si>
    <t>Gap severity.</t>
  </si>
  <si>
    <t>recommended_course_id</t>
  </si>
  <si>
    <t>Recommended course id.</t>
  </si>
  <si>
    <t>tni_recommendation</t>
  </si>
  <si>
    <t>Tni recommendation.</t>
  </si>
  <si>
    <t>cross_functional_recommendation</t>
  </si>
  <si>
    <t>Cross functional recommendation.</t>
  </si>
  <si>
    <t>movement_id</t>
  </si>
  <si>
    <t>Movement id.</t>
  </si>
  <si>
    <t>previous_level</t>
  </si>
  <si>
    <t>Previous level.</t>
  </si>
  <si>
    <t>movement_delta_formula</t>
  </si>
  <si>
    <t>Movement delta formula.</t>
  </si>
  <si>
    <t>movement_date</t>
  </si>
  <si>
    <t>Movement date.</t>
  </si>
  <si>
    <t>movement_trigger</t>
  </si>
  <si>
    <t>Movement trigger.</t>
  </si>
  <si>
    <t>movement_note</t>
  </si>
  <si>
    <t>Movement note.</t>
  </si>
  <si>
    <t>persona_id</t>
  </si>
  <si>
    <t>Persona id.</t>
  </si>
  <si>
    <t>test_scenario</t>
  </si>
  <si>
    <t>Test scenario.</t>
  </si>
  <si>
    <t>demo_path</t>
  </si>
  <si>
    <t>Demo path.</t>
  </si>
  <si>
    <t>expected_demo_outcome</t>
  </si>
  <si>
    <t>Expected demo outcome.</t>
  </si>
  <si>
    <t>scenario_id</t>
  </si>
  <si>
    <t>Scenario id.</t>
  </si>
  <si>
    <t>feature</t>
  </si>
  <si>
    <t>Feature.</t>
  </si>
  <si>
    <t>sheets_used</t>
  </si>
  <si>
    <t>Sheets used.</t>
  </si>
  <si>
    <t>acceptance_criteria</t>
  </si>
  <si>
    <t>Acceptance criteria.</t>
  </si>
  <si>
    <t>status</t>
  </si>
  <si>
    <t>Status.</t>
  </si>
  <si>
    <t>from_table</t>
  </si>
  <si>
    <t>From table.</t>
  </si>
  <si>
    <t>from_field</t>
  </si>
  <si>
    <t>From field.</t>
  </si>
  <si>
    <t>relationship</t>
  </si>
  <si>
    <t>Relationship.</t>
  </si>
  <si>
    <t>to_table</t>
  </si>
  <si>
    <t>To table.</t>
  </si>
  <si>
    <t>to_field</t>
  </si>
  <si>
    <t>To field.</t>
  </si>
  <si>
    <t>purpose</t>
  </si>
  <si>
    <t>Purpose.</t>
  </si>
  <si>
    <t>topic</t>
  </si>
  <si>
    <t>Topic.</t>
  </si>
  <si>
    <t>note</t>
  </si>
  <si>
    <t>Note.</t>
  </si>
  <si>
    <t>roadmap_id</t>
  </si>
  <si>
    <t>Roadmap id.</t>
  </si>
  <si>
    <t>why_not_core_now</t>
  </si>
  <si>
    <t>Why not core now.</t>
  </si>
  <si>
    <t>future_condition</t>
  </si>
  <si>
    <t>Future condition.</t>
  </si>
  <si>
    <t>check_id</t>
  </si>
  <si>
    <t>Check id.</t>
  </si>
  <si>
    <t>check_name</t>
  </si>
  <si>
    <t>Check name.</t>
  </si>
  <si>
    <t>result</t>
  </si>
  <si>
    <t>Result.</t>
  </si>
  <si>
    <t>Relationship Map</t>
  </si>
  <si>
    <t>1-to-many</t>
  </si>
  <si>
    <t>Defines target skills by role</t>
  </si>
  <si>
    <t>Provides definition and indicators</t>
  </si>
  <si>
    <t>One blueprint per selected role</t>
  </si>
  <si>
    <t>Questions generated under blueprint</t>
  </si>
  <si>
    <t>SME reviews generated questions</t>
  </si>
  <si>
    <t>Approved blueprints get scheduled</t>
  </si>
  <si>
    <t>Synthetic users get assigned</t>
  </si>
  <si>
    <t>1-to-one</t>
  </si>
  <si>
    <t>Attempts create score/result</t>
  </si>
  <si>
    <t>Score informs skill level recommendation</t>
  </si>
  <si>
    <t>derived from user+skill</t>
  </si>
  <si>
    <t>Gap-to-target drives TNI</t>
  </si>
  <si>
    <t>Courses mapped to skills</t>
  </si>
  <si>
    <t>many-to-one</t>
  </si>
  <si>
    <t>Find recommended learning by skill</t>
  </si>
  <si>
    <t>Synthetic cohort assignments</t>
  </si>
  <si>
    <t>Role Master</t>
  </si>
  <si>
    <t>R2R_banking_preparer_job_preparation_cash_posting</t>
  </si>
  <si>
    <t>R2R</t>
  </si>
  <si>
    <t>Banking</t>
  </si>
  <si>
    <t>Banking Preparer Job (Preparation + Cash Posting)</t>
  </si>
  <si>
    <t>B3/B4/P3</t>
  </si>
  <si>
    <t>B3/B4 selected</t>
  </si>
  <si>
    <t>Talent360i assessment blueprint source</t>
  </si>
  <si>
    <t>BNK-J1</t>
  </si>
  <si>
    <t>R2R_ga_preparer_job_preparation_only</t>
  </si>
  <si>
    <t>GA</t>
  </si>
  <si>
    <t>GA Preparer Job (Preparation-only)</t>
  </si>
  <si>
    <t>GA-J1</t>
  </si>
  <si>
    <t>R2R_consolidation_preparer_job_execution_pack_prep</t>
  </si>
  <si>
    <t>Consolidation</t>
  </si>
  <si>
    <t>Consolidation Preparer Job (Execution + Pack Prep)</t>
  </si>
  <si>
    <t>P3/P4</t>
  </si>
  <si>
    <t>P4 specialist included</t>
  </si>
  <si>
    <t>CONSOL-J1</t>
  </si>
  <si>
    <t>AP_p2p_lead</t>
  </si>
  <si>
    <t>AP</t>
  </si>
  <si>
    <t>P2P / AP</t>
  </si>
  <si>
    <t>P2P Lead</t>
  </si>
  <si>
    <t>B4</t>
  </si>
  <si>
    <t>AP Matrix RolesxSkills</t>
  </si>
  <si>
    <t>AP_p2p_senior_associate</t>
  </si>
  <si>
    <t>P2P Senior Associate</t>
  </si>
  <si>
    <t>B3</t>
  </si>
  <si>
    <t>AP_t_e_lead</t>
  </si>
  <si>
    <t>T&amp;E Lead</t>
  </si>
  <si>
    <t>O2C_billing_team_lead</t>
  </si>
  <si>
    <t>O2C</t>
  </si>
  <si>
    <t>Billing / Revenue / Cash</t>
  </si>
  <si>
    <t>Billing Team Lead</t>
  </si>
  <si>
    <t>O2C Role Skill Matrix</t>
  </si>
  <si>
    <t>O2C_associate_revenue_controller</t>
  </si>
  <si>
    <t>Associate Revenue Controller</t>
  </si>
  <si>
    <t>P4</t>
  </si>
  <si>
    <t>O2C_senior_revenue_associate</t>
  </si>
  <si>
    <t>Senior Revenue Associate</t>
  </si>
  <si>
    <t>Role Descriptions</t>
  </si>
  <si>
    <t>Role profile PPT</t>
  </si>
  <si>
    <t>Executes bank reconciliations end-to-end, ensuring bank-to-GL matching is accurate, reconciling items are identified and supported, and reconciliations are completed on time with clean evidence in line with RTR banking SOPs.</t>
  </si>
  <si>
    <t>Perform daily/periodic bank-to-GL reconciliations; identify and document reconciling items; execute SOP-compliant cash postings/clearing with evidence; maintain open-item aging and escalate blockers.</t>
  </si>
  <si>
    <t>On-time bank reconciliations; traceable SOX/IPE evidence; reduced aged reconciling items; improved cash integrity and close readiness.</t>
  </si>
  <si>
    <t>Reconciliations &amp; Clearing; First Time Right; Fixed Assets &amp; Banking / cash context; Time Management; Productivity Tools; Attention to Detail; Controls / Compliance / Audit; ERP / Finance Tools.</t>
  </si>
  <si>
    <t>Selected for B3/B4/P4 Hackfest test data</t>
  </si>
  <si>
    <t>Source-derived role context - no employee data</t>
  </si>
  <si>
    <t>Executes end-to-end General Accounting activities including journal entry preparation and balance sheet reconciliations with SOX/IPE-compliant evidence aligned to NIQ SOPs and OneStream governance.</t>
  </si>
  <si>
    <t>Post accruals/reclasses with correct coding, support and approvals; prepare OneStream balance sheet reconciliations; evidence balances and resolve ageing items.</t>
  </si>
  <si>
    <t>Accurate close execution; clean journal entries; complete reconciliable balance sheet accounts; reduced aged recon items; audit-ready documentation.</t>
  </si>
  <si>
    <t>Attention to Detail; Reconciliations &amp; Clearing; SLA / Governance / Metrics; Productivity Tools; ERP / Finance Tools; First Time Right; R2R Close &amp; Journals.</t>
  </si>
  <si>
    <t>Executes end-to-end consolidation cycle activities, ensuring entity submissions, eliminations, adjustments, FX translation, system loads and group reporting packs are accurate, complete and supported by SOX/IPE evidence under OneStream governance.</t>
  </si>
  <si>
    <t>Track entity submissions; manage eliminations, FX translation and system loads; validate balances, mappings and tie-outs; prepare group reporting packs.</t>
  </si>
  <si>
    <t>Entity submission tracker; elimination and adjustment support; FX translation evidence; load validation logs; group reporting pack; SOX/IPE evidence pack.</t>
  </si>
  <si>
    <t>Attention to Detail; Reconciliations &amp; Clearing; Financial Reporting; Consolidation; SLA / Governance / Metrics; Productivity Tools; ERP / Finance Tools.</t>
  </si>
  <si>
    <t>Team-level execution ownership and first-line control for invoice processing and payment execution within assigned region/scope.</t>
  </si>
  <si>
    <t>Own AP invoice processing and payment execution; allocate work and manage queues; resolve exceptions; ensure 3-way match, GR/IR and month-end readiness; ensure controls, SOX compliance and accurate SAP execution.</t>
  </si>
  <si>
    <t>Queue allocation reports; exception resolution logs; RCA documentation; month-end readiness checklist; SLA/KPI dashboard.</t>
  </si>
  <si>
    <t>PO-Based Invoice Processing; Non-PO Invoice Processing; 3-Way Match; Payment Processing; Month-End Support; SLA / Metrics / Reporting; Controls / SOX / Audit Support; Queue Allocation; RCA; Stakeholder Communication.</t>
  </si>
  <si>
    <t>Accurate and timely execution of AP invoice processing with strong exception handling and compliance adherence.</t>
  </si>
  <si>
    <t>Process PO and Non-PO invoices in SAP; validate tax, compliance and approvals; resolve holds/exceptions; support GR/IR and open-item follow-ups; support month-end processing.</t>
  </si>
  <si>
    <t>Invoice productivity and accuracy metrics; exception resolution log; GR/IR follow-up tracker; approval evidence pack; aging reduction proof.</t>
  </si>
  <si>
    <t>3-Way Match &amp; Exception Governance; Payments Execution Oversight; AP Reconciliations; Controls / Compliance / Audit Readiness; SLA / Governance / Metrics; Work Intake &amp; Prioritization; RCA / CAPA; Stakeholder Management.</t>
  </si>
  <si>
    <t>Leads day-to-day execution and control of T&amp;E and P-Card operations, ensuring queue management, resolution of complex claims and exceptions, policy compliance, audit readiness and SLA/KPI performance.</t>
  </si>
  <si>
    <t>Lead daily T&amp;E and P-Card operations; resolve complex claims and exceptions; coordinate across teams and stakeholders; drive audit readiness and SLA/KPI performance.</t>
  </si>
  <si>
    <t>T&amp;E queue health reports; exception/violation logs; claims aging and TAT reports; policy compliance and audit check results; month-end checklists.</t>
  </si>
  <si>
    <t>End-to-end T&amp;E operations ownership; complex exception management; policy enforcement; SLA/KPI performance; stakeholder coordination; audit and close support; continuous improvement; T&amp;E systems expertise.</t>
  </si>
  <si>
    <t>JD DOCX</t>
  </si>
  <si>
    <t>The Associate Revenue Controller provides specialist support for revenue and billing accuracy by executing targeted control and assurance activities across billing-to-revenue processes. This role focuses on reviewing high-risk transactions, validating billing rules, supporting reconciliations, and ensuring audit readiness through strong documentation and evidence discipline. The role plays a key part in maintaining control effectiveness by identifying exceptions, supporting investigations, and contributing to improved process compliance and financial accuracy.</t>
  </si>
  <si>
    <t>High-Risk Item Review &amp; Validation; Review high-risk billing and revenue items against contracts, policies, and SOPs; Validate billing rules, pricing logic, and revenue recognition alignment; Identify discrepancies and escalate issues for resolution; Ensure accuracy and compliance in transaction processing; Control Checks &amp; Assurance Support; Perform billing-to-revenue and first-line control checks; Support execution of control activities across O2C processes; Validate adherence to defined control frameworks; Assist in monitoring control effectiveness</t>
  </si>
  <si>
    <t>Accurate control check evidence and validation results; High-quality reconciliation support and variance explanations; Risk and exception reports with actionable insights; Complete and audit-ready documentation (PBC packs, evidence folders); Effective tracking of control breaches and resolution status; Strong adherence to SOPs and control frameworks; Improved accuracy and reduced high-risk errors; Key Stakeholders; Internal; Sales / Commercial</t>
  </si>
  <si>
    <t>Basic to intermediate understanding of revenue and billing processes; Knowledge of control frameworks and compliance requirements; Strong analytical and attention-to-detail skills; Ability to review transactions and identify discrepancies; Good understanding of reconciliations and financial data; Digital fluency (ERP systems, Excel, reporting tools); Strong documentation and organizational skills; Effective communication and coordination skills; Qualifications &amp; Experience; –4 years of experience in finance operations, billing, or revenue processes</t>
  </si>
  <si>
    <t>Role matrix XLSX</t>
  </si>
  <si>
    <t>Senior Revenue Associate role selected from O2C role-skill matrix as a B3 revenue role. No separate JD was provided in this upload; role-skill expectations are taken from the O2C role matrix and skill dictionary.</t>
  </si>
  <si>
    <t>Use O2C matrix target skills for billing, revenue assurance, compliance, close/reporting, ownership and delivery.</t>
  </si>
  <si>
    <t>Assessment blueprint validates role-level O2C skills mapped in the source matrix.</t>
  </si>
  <si>
    <t>O2C role-skill matrix and skill dictionary.</t>
  </si>
  <si>
    <t>Selected for B3/B4 Hackfest test data - JD not in attachments</t>
  </si>
  <si>
    <t>Billing Team Lead role selected from O2C role-skill matrix as a B4 role. No separate JD was provided in this upload; role-skill expectations are taken from the O2C role matrix and skill dictionary.</t>
  </si>
  <si>
    <t>Use O2C matrix target skills for order validation, billing setup, invoicing, credit notes, revenue controls, compliance and team-level delivery.</t>
  </si>
  <si>
    <t>Assessment blueprint validates billing/revenue operations skills mapped in the source matrix.</t>
  </si>
  <si>
    <t>REF_p2p_associate</t>
  </si>
  <si>
    <t>P2P Associate</t>
  </si>
  <si>
    <t>The P2P Associate is responsible for executing day-to-day invoice processing activities with accuracy and timeliness, following defined SOPs and internal controls within the Accounts Payable function.</t>
  </si>
  <si>
    <t>Process PO and Non-PO invoices in ERP systems (e.g., SAP); Perform basic 3-way matching (PO, invoice, GR); Validate invoice details including tax, coding, and approvals; Route invoices for approval and follow up on pending items; Maintain accurate documentation and audit trail; Monitor assigned queues and ensure SLA adherence; Support payment runs with required inputs; Escalate exceptions or complex discrepancies</t>
  </si>
  <si>
    <t>–3 years experience in AP / Invoice Processing; Basic knowledge of invoice lifecycle and controls; Familiarity with SAP / ERP systems; High attention to detail and accuracy</t>
  </si>
  <si>
    <t>Reference-only JD analyzed; not part of selected B3/B4 synthetic user cohort</t>
  </si>
  <si>
    <t>REF_credit_controller</t>
  </si>
  <si>
    <t>Credit Controller</t>
  </si>
  <si>
    <t>The Credit Controller is responsible for executing standard collections activities, including dunning and customer outreach, while maintaining accurate case documentation and ensuring adherence to Cash Collection SOPs and SLAs. This role focuses on transactional execution, including follow-ups, case updates, and routing disputes and escalations to appropriate teams. It plays a key role in maintaining process discipline, documentation accuracy, and timely completion of collection activities.</t>
  </si>
  <si>
    <t>Dunning &amp; Outreach Execution; Execute collections activities including:; Calls; Emails; Letters; Follow defined scripts, cadence, and communication guidelines; Ensure timely follow-ups based on aging and priority; Case Management &amp; Documentation; Update case notes promptly and accurately in collections systems/ERP; Maintain detailed records of:</t>
  </si>
  <si>
    <t>Completed collections activities (calls, emails, outreach logs); Accurate and up-to-date case notes and customer contact history; Properly routed disputes with complete information; Timely escalations based on defined triggers; SLA adherence (follow-ups, routing, completion rate); Complete audit trail and documentation; Reduced rework through accurate execution; Key Stakeholders; Internal; Sales / Commercial</t>
  </si>
  <si>
    <t>Basic understanding of collections and receivables processes; Strong attention to detail and documentation discipline; Ability to follow SOPs and structured workflows; Good communication skills for customer interaction; Ability to manage repetitive tasks with accuracy; Basic analytical skills (identifying issues and exceptions); Digital fluency (ERP systems, collections tools, Excel); Time management and prioritization skills; Qualifications &amp; Experience; –3 years of experience in collections, customer service, or finance operations</t>
  </si>
  <si>
    <t>REF_cash_application_associate</t>
  </si>
  <si>
    <t>Cash Application Associate</t>
  </si>
  <si>
    <t>The Cash Application Associate is responsible for executing transaction processing activities related to cash posting, including accurate and timely posting of receipts, remittance matching, and maintaining complete audit trail documentation in line with Cash Application SOPs. The role focuses on execution accuracy, adherence to work instructions, and timely completion of tasks while supporting reconciliation activities and escalation of mismatches. This refines the current JD by positioning the role as transaction execution + matching + documentation, rather than investigation or process ownership.</t>
  </si>
  <si>
    <t>Receipt Posting &amp; Processing; Post client receipts accurately in ERP systems as per work instructions; Ensure timely processing of payments across bank accounts; Follow defined procedures for transaction processing; Maintain accuracy and completeness of postings; Remittance Matching; Match remittances to invoices with correct allocation; Ensure supporting documentation is complete and accurate; Identify unmatched or partially matched items; Follow defined rules for allocation and matching</t>
  </si>
  <si>
    <t>Completed postings with daily throughput targets met; High accuracy in receipt application and matching; Clean audit trail (documentation attached and traceable); Reduced unapplied/on-account cash; Proper escalation logs with complete evidence; Bank reconciliation support logs; Strong SLA adherence for posting and matching; Key Stakeholders; Internal; Sales / Commercial</t>
  </si>
  <si>
    <t>Basic understanding of cash application and AR processes; Strong attention to detail and accuracy; Ability to follow SOPs and structured workflows; Basic analytical skills (identifying mismatches); Digital fluency (ERP systems, Excel); Strong documentation discipline; Ability to manage repetitive tasks efficiently; Good time management and prioritization skills; Qualifications &amp; Experience; –2 years of experience in finance operations, AR, or data processing roles</t>
  </si>
  <si>
    <t>Skill Master</t>
  </si>
  <si>
    <t>AP_first_time_right_quality</t>
  </si>
  <si>
    <t>First Time Right (Quality)</t>
  </si>
  <si>
    <t>Technical Expertise</t>
  </si>
  <si>
    <t>Basic understanding of AP quality requirements; follows checklists and review steps with guidance.</t>
  </si>
  <si>
    <t>Applies self-checks (coding, approvals, attachments); reduces repeat errors; flags recurring defects.</t>
  </si>
  <si>
    <t>Independently delivers right-first-time processing; prevents defects; improves rework and rejection rates.</t>
  </si>
  <si>
    <t>Consulted for quality issues; designs quality gates and sampling checks; mentors others.</t>
  </si>
  <si>
    <t>Strategic authority on AP quality standards; sets enterprise quality measures and drives quality culture.</t>
  </si>
  <si>
    <t>Skills Dictionary</t>
  </si>
  <si>
    <t>AP_invoice_processing_po_non_po</t>
  </si>
  <si>
    <t>Invoice Processing (PO &amp; Non-PO)</t>
  </si>
  <si>
    <t>Familiarity with invoice capture and required fields; processes simple invoices under review.</t>
  </si>
  <si>
    <t>Performs standard PO/non-PO invoice processing; routes for approval; follows coding standards.</t>
  </si>
  <si>
    <t>Independently resolves exceptions (price/qty/GR issues); optimizes cycle time; ensures accurate postings.</t>
  </si>
  <si>
    <t>Go-to for complex invoice scenarios; standardizes handling rules; trains team on exception playbooks.</t>
  </si>
  <si>
    <t>Defines enterprise invoice processing strategy (standardization, e-invoicing); drives outcomes at scale.</t>
  </si>
  <si>
    <t>AP_3_way_match_exception_handling</t>
  </si>
  <si>
    <t>3-Way Match &amp; Exception Handling</t>
  </si>
  <si>
    <t>Understands basic match concepts; escalates mismatches per SOP.</t>
  </si>
  <si>
    <t>Performs routine exception resolution with guidance; documents reasons and actions.</t>
  </si>
  <si>
    <t>Independently investigates match breaks; coordinates with Procurement/Receiving; closes root causes.</t>
  </si>
  <si>
    <t>Consulted for complex match disputes; sets exception thresholds and best practices.</t>
  </si>
  <si>
    <t>Sets enterprise match policy and governance; drives upstream process fixes and supplier compliance.</t>
  </si>
  <si>
    <t>AP_payments_execution_runs_methods</t>
  </si>
  <si>
    <t>Payments Execution (Runs/Methods)</t>
  </si>
  <si>
    <t>Familiarity with payment methods and calendar; supports run preparation with guidance.</t>
  </si>
  <si>
    <t>Executes standard payment run steps; validates batches; follows approvals and controls.</t>
  </si>
  <si>
    <t>Independently manages payment execution; resolves payment failures; ensures on-time, accurate disbursements.</t>
  </si>
  <si>
    <t>Go-to for payment issues and bank file exceptions; strengthens controls; mentors others.</t>
  </si>
  <si>
    <t>Defines enterprise payments strategy (controls, bank connectivity, fraud prevention) and performance.</t>
  </si>
  <si>
    <t>AP_t_e_p_card_audit_compliance</t>
  </si>
  <si>
    <t>T&amp;E / P-Card Audit &amp; Compliance</t>
  </si>
  <si>
    <t>Understands basic policy rules; reviews simple claims/transactions with guidance.</t>
  </si>
  <si>
    <t>Applies policy checks (receipts, limits, categories); flags non-compliance; supports employee queries.</t>
  </si>
  <si>
    <t>Independently audits complex claims; identifies patterns of misuse; recommends corrective actions.</t>
  </si>
  <si>
    <t>Consulted for sensitive/escalated cases; improves policy controls and training; coaches approvers.</t>
  </si>
  <si>
    <t>Shapes enterprise T&amp;E/P-card compliance strategy; drives governance and risk posture.</t>
  </si>
  <si>
    <t>AP_tax_withholding_regulatory_basics</t>
  </si>
  <si>
    <t>Tax / Withholding &amp; Regulatory Basics</t>
  </si>
  <si>
    <t>Familiarity with VAT/GST/withholding concepts; follows standard coding guidance.</t>
  </si>
  <si>
    <t>Applies standard tax codes; identifies missing tax data; escalates exceptions.</t>
  </si>
  <si>
    <t>Independently validates tax treatment for non-routine invoices; partners with Tax/Finance for resolution.</t>
  </si>
  <si>
    <t>Recognized specialist; sets tax coding guidance and controls; trains team on common risks.</t>
  </si>
  <si>
    <t>Defines enterprise AP tax compliance approach; influences policy and system configuration.</t>
  </si>
  <si>
    <t>AP_ap_reconciliations_subledger_gl_vendor_statements</t>
  </si>
  <si>
    <t>AP Reconciliations (Subledger/GL, Vendor Statements)</t>
  </si>
  <si>
    <t>Understands reconciliation purpose; supports data gathering under guidance.</t>
  </si>
  <si>
    <t>Completes standard reconciliations (subledger to GL, vendor statement) using templates; documents variances.</t>
  </si>
  <si>
    <t>Independently resolves discrepancies; improves reconciliation quality and cycle time; maintains evidence trail.</t>
  </si>
  <si>
    <t>Consulted for complex recon issues; sets reconciliation standards; mentors others.</t>
  </si>
  <si>
    <t>Defines enterprise reconciliation approach for AP; drives control effectiveness and audit readiness.</t>
  </si>
  <si>
    <t>AP_close_activities_accruals_cutoff_gr_ir</t>
  </si>
  <si>
    <t>Close Activities (Accruals, Cutoff, GR/IR)</t>
  </si>
  <si>
    <t>Aware of month-end timelines; supports accrual inputs with guidance.</t>
  </si>
  <si>
    <t>Performs standard cutoff checks and accrual preparation using SOPs; escalates anomalies.</t>
  </si>
  <si>
    <t>Independently manages AP close tasks; resolves GR/IR and cutoff issues; improves timeliness.</t>
  </si>
  <si>
    <t>Go-to for close challenges; standardizes close playbooks and controls; trains teams.</t>
  </si>
  <si>
    <t>Defines enterprise AP close strategy and cadence; drives close performance across regions.</t>
  </si>
  <si>
    <t>AP_controls_compliance_audit_ap</t>
  </si>
  <si>
    <t>Controls / Compliance / Audit (AP)</t>
  </si>
  <si>
    <t>Familiarity with control requirements (SoD, approvals); follows evidence rules with guidance.</t>
  </si>
  <si>
    <t>Executes assigned controls; retains evidence; supports audit requests using standard packs.</t>
  </si>
  <si>
    <t>Independently owns control execution; explains evidence; supports remediation and prevention actions.</t>
  </si>
  <si>
    <t>Consulted for control design and audit readiness; strengthens control framework; mentors others.</t>
  </si>
  <si>
    <t>Defines enterprise AP control strategy; leads major remediation and audit outcomes.</t>
  </si>
  <si>
    <t>AP_ownership_delivery</t>
  </si>
  <si>
    <t>Ownership &amp; Delivery</t>
  </si>
  <si>
    <t>Process Governance</t>
  </si>
  <si>
    <t>Understands tasks and deadlines; delivers with support; escalates when instructed.</t>
  </si>
  <si>
    <t>Owns end-to-end tasks; meets deadlines; escalates risks/issues early with context.</t>
  </si>
  <si>
    <t>Independently owns outcomes; manages exceptions and handoffs; accountable for results.</t>
  </si>
  <si>
    <t>Leads delivery across teams; builds routines and resilience; balances priorities at scale.</t>
  </si>
  <si>
    <t>Sets delivery model and accountability; drives enterprise performance and operating rhythm.</t>
  </si>
  <si>
    <t>AP_sla_governance_metrics</t>
  </si>
  <si>
    <t>SLA / Governance / Metrics</t>
  </si>
  <si>
    <t>Aware of SLAs/KPIs (cycle time, backlog); updates trackers as instructed.</t>
  </si>
  <si>
    <t>Tracks SLAs and productivity; reports status; supports governance routines.</t>
  </si>
  <si>
    <t>Independently monitors KPIs; drives actions to recover SLA/backlog; improves reporting.</t>
  </si>
  <si>
    <t>Designs governance cadence; leads performance reviews; improves metric definitions and actions.</t>
  </si>
  <si>
    <t>Defines enterprise governance model and KPI strategy; drives performance accountability.</t>
  </si>
  <si>
    <t>AP_work_intake_prioritization_backlog_mgmt</t>
  </si>
  <si>
    <t>Work Intake &amp; Prioritization (Backlog Mgmt)</t>
  </si>
  <si>
    <t>Follows queue assignments; processes items in order with guidance.</t>
  </si>
  <si>
    <t>Manages personal backlog; prioritizes by due date/criticality with support.</t>
  </si>
  <si>
    <t>Independently manages queues; balances throughput vs. quality; reallocates based on risk/impact.</t>
  </si>
  <si>
    <t>Leads workload planning across team; designs queue rules and surge playbooks.</t>
  </si>
  <si>
    <t>Sets enterprise capacity model and backlog strategy; influences operating model decisions.</t>
  </si>
  <si>
    <t>AP_sops_process_documentation</t>
  </si>
  <si>
    <t>SOPs / Process Documentation</t>
  </si>
  <si>
    <t>Reads SOPs; follows steps accurately; uses templates.</t>
  </si>
  <si>
    <t>Updates SOPs with guidance; documents issues clearly; supports standardization.</t>
  </si>
  <si>
    <t>Independently maintains SOPs; drives standardization and control checks; ensures adoption.</t>
  </si>
  <si>
    <t>Consulted for process design; sets documentation standards; mentors authors/reviewers.</t>
  </si>
  <si>
    <t>Owns enterprise standard work model; drives harmonization across regions/towers.</t>
  </si>
  <si>
    <t>AP_continuous_improvement_lean_six_sigma</t>
  </si>
  <si>
    <t>Continuous Improvement (Lean/Six Sigma)</t>
  </si>
  <si>
    <t>Aware of CI concepts; participates in improvement workshops and pilots.</t>
  </si>
  <si>
    <t>Applies basic CI tools; identifies waste and quick wins; implements small changes.</t>
  </si>
  <si>
    <t>Independently runs CI improvements; implements standard work; tracks benefits.</t>
  </si>
  <si>
    <t>Leads CI programs; mentors others; scales improvements across teams.</t>
  </si>
  <si>
    <t>Sets enterprise CI strategy; drives transformation and operating model shifts.</t>
  </si>
  <si>
    <t>AP_problem_solving_rca_capa</t>
  </si>
  <si>
    <t>Problem Solving (RCA/CAPA)</t>
  </si>
  <si>
    <t>Escalates issues; follows known fixes; documents symptoms.</t>
  </si>
  <si>
    <t>Performs basic RCA; proposes corrective actions; documents outcomes.</t>
  </si>
  <si>
    <t>Independently solves moderately complex problems; implements CAPA; prevents recurrence.</t>
  </si>
  <si>
    <t>Consulted for systemic issues; drives prevention across teams; strengthens controls/processes.</t>
  </si>
  <si>
    <t>Leads enterprise root-cause elimination; sets prevention strategy and governance.</t>
  </si>
  <si>
    <t>AP_project_management</t>
  </si>
  <si>
    <t>Project Management</t>
  </si>
  <si>
    <t>Follows task plans; updates status; learns dependencies.</t>
  </si>
  <si>
    <t>Manages small workstreams; prioritizes tasks; tracks dependencies with guidance.</t>
  </si>
  <si>
    <t>Independently runs projects; manages risks/issues; coordinates resources and timelines.</t>
  </si>
  <si>
    <t>Leads cross-functional initiatives; standardizes PM approach and governance.</t>
  </si>
  <si>
    <t>Leads enterprise programs; sets portfolio priorities and PM governance.</t>
  </si>
  <si>
    <t>O2C_first_time_right_quality</t>
  </si>
  <si>
    <t>Basic understanding of O2C quality requirements; follows checklists and review steps with guidance.</t>
  </si>
  <si>
    <t>Applies self-checks (billing accuracy, documentation); reduces repeat errors; flags recurring defects.</t>
  </si>
  <si>
    <t>Independently delivers right-first-time outputs; prevents defects; improves rework and correction rates.</t>
  </si>
  <si>
    <t>Strategic authority on O2C quality standards; sets enterprise quality measures and drives quality culture.</t>
  </si>
  <si>
    <t>O2C_order_validation_billing_setup</t>
  </si>
  <si>
    <t>Order Validation &amp; Billing Setup</t>
  </si>
  <si>
    <t>Familiarity with order/billing requirements; supports validation under guidance.</t>
  </si>
  <si>
    <t>Validates standard order details; applies billing rules; ensures required documentation/approvals.</t>
  </si>
  <si>
    <t>Independently validates complex orders (pricing, terms, PO requirements); prevents downstream disputes.</t>
  </si>
  <si>
    <t>Go-to for complex billing setups; defines validation playbooks; trains team on edge cases.</t>
  </si>
  <si>
    <t>Defines enterprise billing setup standards; drives upstream fixes with Sales/Operations.</t>
  </si>
  <si>
    <t>O2C_invoicing_standard_complex</t>
  </si>
  <si>
    <t>Invoicing (Standard/Complex)</t>
  </si>
  <si>
    <t>Understands invoice components; creates simple invoices using templates/tools with review.</t>
  </si>
  <si>
    <t>Performs standard invoicing; applies tax/format rules; routes exceptions appropriately.</t>
  </si>
  <si>
    <t>Independently manages complex invoicing (multi-line, milestones, credits); ensures accuracy and timeliness.</t>
  </si>
  <si>
    <t>Consulted for difficult invoice scenarios; standardizes invoicing rules; mentors others.</t>
  </si>
  <si>
    <t>Sets enterprise invoicing strategy (standardization, e-invoicing, controls) and performance targets.</t>
  </si>
  <si>
    <t>O2C_credit_notes_adjustments</t>
  </si>
  <si>
    <t>Credit Notes / Adjustments</t>
  </si>
  <si>
    <t>Familiarity with credit memo concepts; prepares drafts under guidance.</t>
  </si>
  <si>
    <t>Processes standard credits/adjustments; validates approvals and supporting evidence.</t>
  </si>
  <si>
    <t>Independently resolves correction needs; ensures audit trail; minimizes revenue leakage.</t>
  </si>
  <si>
    <t>Go-to for complex adjustments; defines approval workflows and controls; trains others.</t>
  </si>
  <si>
    <t>Defines enterprise adjustment policy; drives leakage prevention and governance.</t>
  </si>
  <si>
    <t>O2C_revenue_assurance_controls_billing_to_rev</t>
  </si>
  <si>
    <t>Revenue Assurance / Controls (Billing-to-Rev)</t>
  </si>
  <si>
    <t>Aware of revenue assurance purpose; follows control steps with guidance.</t>
  </si>
  <si>
    <t>Executes standard revenue assurance checks; reconciles key fields; documents exceptions.</t>
  </si>
  <si>
    <t>Independently identifies revenue risk/leakage; resolves root causes; strengthens controls.</t>
  </si>
  <si>
    <t>Consulted for complex revenue assurance matters; designs control frameworks and monitoring.</t>
  </si>
  <si>
    <t>Sets enterprise revenue assurance strategy and control posture; leads major remediation.</t>
  </si>
  <si>
    <t>O2C_accounts_receivable_reconciliations_aging</t>
  </si>
  <si>
    <t>Accounts Receivable Reconciliations &amp; Aging</t>
  </si>
  <si>
    <t>Understands AR reconciliation purpose; supports data gathering under guidance.</t>
  </si>
  <si>
    <t>Completes standard AR reconciliations and aging reviews using templates; documents variances.</t>
  </si>
  <si>
    <t>Independently resolves discrepancies; improves reconciliation quality; maintains strong audit trail.</t>
  </si>
  <si>
    <t>Consulted for complex AR issues; sets reconciliation standards; mentors others.</t>
  </si>
  <si>
    <t>Defines enterprise AR reconciliation approach; drives control effectiveness and audit readiness.</t>
  </si>
  <si>
    <t>O2C_close_reporting_o2c</t>
  </si>
  <si>
    <t>Close &amp; Reporting (O2C)</t>
  </si>
  <si>
    <t>Aware of month-end timelines; supports close inputs and reporting under guidance.</t>
  </si>
  <si>
    <t>Performs standard close tasks (AR review, reserves inputs) using SOPs; escalates anomalies.</t>
  </si>
  <si>
    <t>Independently manages O2C close deliverables; ensures completeness, accuracy, and timeliness.</t>
  </si>
  <si>
    <t>Go-to for close challenges; standardizes close playbooks/controls; trains teams.</t>
  </si>
  <si>
    <t>Defines enterprise O2C close strategy and cadence; drives performance across regions.</t>
  </si>
  <si>
    <t>O2C_compliance_audit_o2c</t>
  </si>
  <si>
    <t>Compliance / Audit (O2C)</t>
  </si>
  <si>
    <t>Familiarity with approvals/SoD/evidence expectations; follows controls with guidance.</t>
  </si>
  <si>
    <t>Defines enterprise O2C control strategy; leads major remediation and audit outcomes.</t>
  </si>
  <si>
    <t>O2C_ownership_delivery</t>
  </si>
  <si>
    <t>O2C_sla_governance_metrics_dso_backlog_accuracy</t>
  </si>
  <si>
    <t>SLA / Governance / Metrics (DSO, Backlog, Accuracy)</t>
  </si>
  <si>
    <t>Aware of SLAs/KPIs; updates trackers as instructed.</t>
  </si>
  <si>
    <t>Tracks SLAs and performance metrics; reports status; supports governance routines.</t>
  </si>
  <si>
    <t>Independently monitors KPIs; drives actions to recover SLA/DSO/backlog; improves reporting.</t>
  </si>
  <si>
    <t>O2C_customer_commercial_service_billing_ar_queries</t>
  </si>
  <si>
    <t>Customer / Commercial Service (Billing &amp; AR Queries)</t>
  </si>
  <si>
    <t>Stakeholder Influence</t>
  </si>
  <si>
    <t>Responds politely; shares updates with guidance; follows service standards.</t>
  </si>
  <si>
    <t>Manages queries to closure; provides timely updates; manages expectations in routine cases.</t>
  </si>
  <si>
    <t>Independently manages expectations; resolves issues proactively; improves stakeholder experience.</t>
  </si>
  <si>
    <t>Consulted on sensitive topics; builds trust and partnership; coaches others on service.</t>
  </si>
  <si>
    <t>Influences enterprise service model; sets stakeholder experience strategy and standards.</t>
  </si>
  <si>
    <t>O2C_communication_skills</t>
  </si>
  <si>
    <t>Communication Skills</t>
  </si>
  <si>
    <t>Clear written/verbal updates in routine situations; uses standard templates.</t>
  </si>
  <si>
    <t>Produces structured updates; escalates clearly with context; tailors messages to audience.</t>
  </si>
  <si>
    <t>Independently communicates complex issues/decisions; influences outcomes with clarity.</t>
  </si>
  <si>
    <t>Leads communication in escalations; coaches others; improves comms standards.</t>
  </si>
  <si>
    <t>Shapes enterprise narrative; influences decisions through communication; represents function credibly.</t>
  </si>
  <si>
    <t>Proficiency Levels</t>
  </si>
  <si>
    <t>Not assessed / not required</t>
  </si>
  <si>
    <t>No assessment yet or role does not require the skill</t>
  </si>
  <si>
    <t>Do not generate role-level assessment unless requested</t>
  </si>
  <si>
    <t>Capability360 uses a shared 6-level taxonomy; FinOps matrices use L1-L5. Level 0 added only for not-required/not-assessed states.</t>
  </si>
  <si>
    <t>Awareness</t>
  </si>
  <si>
    <t>Understands the purpose and basic concepts; needs close guidance</t>
  </si>
  <si>
    <t>AI questions validate recognition and basic concept understanding</t>
  </si>
  <si>
    <t>Working Knowledge</t>
  </si>
  <si>
    <t>Performs standard tasks using SOPs with some guidance</t>
  </si>
  <si>
    <t>AI questions validate routine application and escalation understanding</t>
  </si>
  <si>
    <t>Proficient</t>
  </si>
  <si>
    <t>Works independently for standard and moderately complex scenarios</t>
  </si>
  <si>
    <t>AI questions validate role-ready judgment and control adherence</t>
  </si>
  <si>
    <t>Advanced</t>
  </si>
  <si>
    <t>Handles complex cases, mentors peers and improves practices</t>
  </si>
  <si>
    <t>AI questions validate complex scenario judgment and root-cause thinking</t>
  </si>
  <si>
    <t>Expert / Strategic</t>
  </si>
  <si>
    <t>Sets standards, governs outcomes and resolves enterprise risks</t>
  </si>
  <si>
    <t>AI questions validate policy design, governance and strategic decision-making</t>
  </si>
  <si>
    <t>Role Skill Map</t>
  </si>
  <si>
    <t>RSM-0001</t>
  </si>
  <si>
    <t>Intermediate</t>
  </si>
  <si>
    <t>RSM-0002</t>
  </si>
  <si>
    <t>RSM-0003</t>
  </si>
  <si>
    <t>RSM-0004</t>
  </si>
  <si>
    <t>RSM-0005</t>
  </si>
  <si>
    <t>RSM-0006</t>
  </si>
  <si>
    <t>RSM-0007</t>
  </si>
  <si>
    <t>RSM-0008</t>
  </si>
  <si>
    <t>RSM-0009</t>
  </si>
  <si>
    <t>RSM-0010</t>
  </si>
  <si>
    <t>RSM-0011</t>
  </si>
  <si>
    <t>RSM-0012</t>
  </si>
  <si>
    <t>RSM-0013</t>
  </si>
  <si>
    <t>RSM-0014</t>
  </si>
  <si>
    <t>RSM-0015</t>
  </si>
  <si>
    <t>RSM-0016</t>
  </si>
  <si>
    <t>RSM-0017</t>
  </si>
  <si>
    <t>RSM-0018</t>
  </si>
  <si>
    <t>RSM-0019</t>
  </si>
  <si>
    <t>RSM-0020</t>
  </si>
  <si>
    <t>RSM-0021</t>
  </si>
  <si>
    <t>RSM-0022</t>
  </si>
  <si>
    <t>RSM-0023</t>
  </si>
  <si>
    <t>RSM-0024</t>
  </si>
  <si>
    <t>RSM-0025</t>
  </si>
  <si>
    <t>RSM-0026</t>
  </si>
  <si>
    <t>RSM-0027</t>
  </si>
  <si>
    <t>RSM-0028</t>
  </si>
  <si>
    <t>RSM-0029</t>
  </si>
  <si>
    <t>RSM-0030</t>
  </si>
  <si>
    <t>RSM-0031</t>
  </si>
  <si>
    <t>RSM-0032</t>
  </si>
  <si>
    <t>RSM-0033</t>
  </si>
  <si>
    <t>RSM-0034</t>
  </si>
  <si>
    <t>RSM-0035</t>
  </si>
  <si>
    <t>RSM-0036</t>
  </si>
  <si>
    <t>RSM-0037</t>
  </si>
  <si>
    <t>RSM-0038</t>
  </si>
  <si>
    <t>RSM-0039</t>
  </si>
  <si>
    <t>RSM-0040</t>
  </si>
  <si>
    <t>RSM-0041</t>
  </si>
  <si>
    <t>RSM-0042</t>
  </si>
  <si>
    <t>RSM-0043</t>
  </si>
  <si>
    <t>RSM-0044</t>
  </si>
  <si>
    <t>RSM-0045</t>
  </si>
  <si>
    <t>RSM-0046</t>
  </si>
  <si>
    <t>RSM-0047</t>
  </si>
  <si>
    <t>RSM-0048</t>
  </si>
  <si>
    <t>RSM-0049</t>
  </si>
  <si>
    <t>RSM-0050</t>
  </si>
  <si>
    <t>RSM-0051</t>
  </si>
  <si>
    <t>RSM-0052</t>
  </si>
  <si>
    <t>RSM-0053</t>
  </si>
  <si>
    <t>RSM-0054</t>
  </si>
  <si>
    <t>RSM-0055</t>
  </si>
  <si>
    <t>RSM-0056</t>
  </si>
  <si>
    <t>RSM-0057</t>
  </si>
  <si>
    <t>RSM-0058</t>
  </si>
  <si>
    <t>RSM-0059</t>
  </si>
  <si>
    <t>RSM-0060</t>
  </si>
  <si>
    <t>RSM-0061</t>
  </si>
  <si>
    <t>R2R_first_time_right_quality_sox_icfr_ready</t>
  </si>
  <si>
    <t>First Time Right (Quality, SOX/ICFR-ready)</t>
  </si>
  <si>
    <t>RSM-0062</t>
  </si>
  <si>
    <t>R2R_attention_to_detail_sox_evidence_trail_documentation</t>
  </si>
  <si>
    <t>Attention to Detail (SOX evidence trail / documentation)</t>
  </si>
  <si>
    <t>RSM-0063</t>
  </si>
  <si>
    <t>R2R_r2r_close_journals_us_gaap_ifrs</t>
  </si>
  <si>
    <t>R2R Close &amp; Journals (US GAAP / IFRS)</t>
  </si>
  <si>
    <t>RSM-0064</t>
  </si>
  <si>
    <t>R2R_reconciliations_clearing_sox_ipe_balance_sheet_recs</t>
  </si>
  <si>
    <t>Reconciliations &amp; Clearing (SOX/IPE balance sheet recs)</t>
  </si>
  <si>
    <t>RSM-0065</t>
  </si>
  <si>
    <t>R2R_fixed_assets_banking_ias_16_ias_36_asc_360</t>
  </si>
  <si>
    <t>Fixed Assets &amp; Banking (IAS 16 / IAS 36 / ASC 360)</t>
  </si>
  <si>
    <t>RSM-0066</t>
  </si>
  <si>
    <t>R2R_time_management</t>
  </si>
  <si>
    <t>Time Management</t>
  </si>
  <si>
    <t>RSM-0067</t>
  </si>
  <si>
    <t>R2R_productivity_tools_excel_ppt</t>
  </si>
  <si>
    <t>Productivity Tools (Excel/PPT)</t>
  </si>
  <si>
    <t>RSM-0068</t>
  </si>
  <si>
    <t>R2R_erp_finance_tools_sap_oracle_blackline_onestream_sox_controls_in_systems</t>
  </si>
  <si>
    <t>ERP / Finance Tools (SAP/Oracle/BlackLine/OneStream) (SOX controls-in-systems)</t>
  </si>
  <si>
    <t>RSM-0069</t>
  </si>
  <si>
    <t>R2R_professional_conduct</t>
  </si>
  <si>
    <t>Professional Conduct</t>
  </si>
  <si>
    <t>RSM-0070</t>
  </si>
  <si>
    <t>R2R_teamwork_collaboration</t>
  </si>
  <si>
    <t>Teamwork / Collaboration</t>
  </si>
  <si>
    <t>RSM-0071</t>
  </si>
  <si>
    <t>RSM-0072</t>
  </si>
  <si>
    <t>RSM-0073</t>
  </si>
  <si>
    <t>RSM-0074</t>
  </si>
  <si>
    <t>R2R_financial_reporting_ifrs_us_gaap</t>
  </si>
  <si>
    <t>Financial Reporting (IFRS / US GAAP)</t>
  </si>
  <si>
    <t>RSM-0075</t>
  </si>
  <si>
    <t>R2R_consolidation_ifrs_10_ifrs_3_ias_21_asc_810</t>
  </si>
  <si>
    <t>Consolidation (IFRS 10 / IFRS 3 / IAS 21 / ASC 810)</t>
  </si>
  <si>
    <t>RSM-0076</t>
  </si>
  <si>
    <t>RSM-0077</t>
  </si>
  <si>
    <t>RSM-0078</t>
  </si>
  <si>
    <t>RSM-0079</t>
  </si>
  <si>
    <t>RSM-0080</t>
  </si>
  <si>
    <t>RSM-0081</t>
  </si>
  <si>
    <t>RSM-0082</t>
  </si>
  <si>
    <t>RSM-0083</t>
  </si>
  <si>
    <t>RSM-0084</t>
  </si>
  <si>
    <t>RSM-0085</t>
  </si>
  <si>
    <t>R2R_ownership_delivery</t>
  </si>
  <si>
    <t>RSM-0086</t>
  </si>
  <si>
    <t>RSM-0087</t>
  </si>
  <si>
    <t>RSM-0088</t>
  </si>
  <si>
    <t>RSM-0089</t>
  </si>
  <si>
    <t>RSM-0090</t>
  </si>
  <si>
    <t>Training Catalogue</t>
  </si>
  <si>
    <t>TRN-0001</t>
  </si>
  <si>
    <t>Actual FinOps training/gap structure where source-mapped; otherwise synthetic remediation placeholder</t>
  </si>
  <si>
    <t>Goods Receipt (GRN)</t>
  </si>
  <si>
    <t>Scenario Lab / Microlearning / Coaching</t>
  </si>
  <si>
    <t>Beginner</t>
  </si>
  <si>
    <t>Medium</t>
  </si>
  <si>
    <t>P2P SDL</t>
  </si>
  <si>
    <t>Training Assessment Gap Log</t>
  </si>
  <si>
    <t>TRN-0002</t>
  </si>
  <si>
    <t>How to trace a break across PO → GRN → Invoice → ERP workflow</t>
  </si>
  <si>
    <t>Beginner &amp; Intermediate</t>
  </si>
  <si>
    <t>High</t>
  </si>
  <si>
    <t>TRN-0003</t>
  </si>
  <si>
    <t>Duplicate payment, late payments, vendor query L2</t>
  </si>
  <si>
    <t>TRN-0004</t>
  </si>
  <si>
    <t>Role-based assessment remediation for Close Activities (Accruals, Cutoff, GR/IR)</t>
  </si>
  <si>
    <t>Generated from gap-to-target</t>
  </si>
  <si>
    <t>Capability Team + SME</t>
  </si>
  <si>
    <t>Generated from role-skill gap where no mapped training topic was found</t>
  </si>
  <si>
    <t>Generated</t>
  </si>
  <si>
    <t>TRN-0005</t>
  </si>
  <si>
    <t>Role-based assessment remediation for Continuous Improvement (Lean/Six Sigma)</t>
  </si>
  <si>
    <t>TRN-0006</t>
  </si>
  <si>
    <t>Role-based assessment remediation for Controls / Compliance / Audit (AP)</t>
  </si>
  <si>
    <t>TRN-0007</t>
  </si>
  <si>
    <t>Role-based assessment remediation for First Time Right (Quality)</t>
  </si>
  <si>
    <t>TRN-0008</t>
  </si>
  <si>
    <t>Role-based assessment remediation for Invoice Processing (PO &amp; Non-PO)</t>
  </si>
  <si>
    <t>TRN-0009</t>
  </si>
  <si>
    <t>Role-based assessment remediation for Ownership &amp; Delivery</t>
  </si>
  <si>
    <t>TRN-0010</t>
  </si>
  <si>
    <t>Role-based assessment remediation for Payments Execution (Runs/Methods)</t>
  </si>
  <si>
    <t>TRN-0011</t>
  </si>
  <si>
    <t>Role-based assessment remediation for Problem Solving (RCA/CAPA)</t>
  </si>
  <si>
    <t>TRN-0012</t>
  </si>
  <si>
    <t>Role-based assessment remediation for Project Management</t>
  </si>
  <si>
    <t>TRN-0013</t>
  </si>
  <si>
    <t>Role-based assessment remediation for SLA / Governance / Metrics</t>
  </si>
  <si>
    <t>TRN-0014</t>
  </si>
  <si>
    <t>SOP quality standard: versioning, control mapping, audit-ready work instructions</t>
  </si>
  <si>
    <t>TRN-0015</t>
  </si>
  <si>
    <t>Role-based assessment remediation for T&amp;E / P-Card Audit &amp; Compliance</t>
  </si>
  <si>
    <t>TRN-0016</t>
  </si>
  <si>
    <t>Role-based assessment remediation for Tax / Withholding &amp; Regulatory Basics</t>
  </si>
  <si>
    <t>TRN-0017</t>
  </si>
  <si>
    <t>Backlog governance: queue rules, aging thresholds, daily management system</t>
  </si>
  <si>
    <t>TRN-0018</t>
  </si>
  <si>
    <t>Enterprise AR Reconciliation Standards &amp; Audit Readiness Leadership</t>
  </si>
  <si>
    <t>O2C SDL + Compliance SPOC</t>
  </si>
  <si>
    <t>TRN-0019</t>
  </si>
  <si>
    <t>O2C close strategy + command-center cadence</t>
  </si>
  <si>
    <t>O2C SDL</t>
  </si>
  <si>
    <t>TRN-0020</t>
  </si>
  <si>
    <t>Escalation comms at leadership level + coaching comms standards</t>
  </si>
  <si>
    <t>TRN-0021</t>
  </si>
  <si>
    <t>(Title currently reads CI—moving under CI below)</t>
  </si>
  <si>
    <t>TRN-0022</t>
  </si>
  <si>
    <t>Enterprise adjustment policy + approval workflow governance</t>
  </si>
  <si>
    <t>TRN-0023</t>
  </si>
  <si>
    <t>Service standards + leading sensitive escalations</t>
  </si>
  <si>
    <t>TRN-0024</t>
  </si>
  <si>
    <t>Quality gates &amp; sampling design; enterprise FTR standards &amp; culture</t>
  </si>
  <si>
    <t>O2C SDL + Quality SPOC</t>
  </si>
  <si>
    <t>TRN-0025</t>
  </si>
  <si>
    <t>Complex invoicing lab: credits, milestones, multi-line, e-invoice controls</t>
  </si>
  <si>
    <t>O2C SDL / GPO</t>
  </si>
  <si>
    <t>TRN-0026</t>
  </si>
  <si>
    <t>Enterprise invoicing strategy: standardization + e-invoicing + controls</t>
  </si>
  <si>
    <t>TRN-0027</t>
  </si>
  <si>
    <t>Operating rhythm &amp; delivery model design (delegation at scale)</t>
  </si>
  <si>
    <t>TRN-0028</t>
  </si>
  <si>
    <t>Operating rhythm &amp; outcome accountability</t>
  </si>
  <si>
    <t>TRN-0029</t>
  </si>
  <si>
    <t>Enterprise revenue assurance strategy &amp; monitoring frameworks</t>
  </si>
  <si>
    <t>TRN-0030</t>
  </si>
  <si>
    <t>Awareness: SLA/KPI/Volume Metrics</t>
  </si>
  <si>
    <t>Intermediate &amp; Advanced</t>
  </si>
  <si>
    <t>TRN-0031</t>
  </si>
  <si>
    <t xml:space="preserve">Role-based assessment remediation for </t>
  </si>
  <si>
    <t>Training Skill Map</t>
  </si>
  <si>
    <t>TSM-0001</t>
  </si>
  <si>
    <t>Training-to-skill relationship for hackfest prototype</t>
  </si>
  <si>
    <t>TSM-0002</t>
  </si>
  <si>
    <t>TSM-0003</t>
  </si>
  <si>
    <t>TSM-0004</t>
  </si>
  <si>
    <t>Medium - generated placeholder</t>
  </si>
  <si>
    <t>TSM-0005</t>
  </si>
  <si>
    <t>TSM-0006</t>
  </si>
  <si>
    <t>TSM-0007</t>
  </si>
  <si>
    <t>TSM-0008</t>
  </si>
  <si>
    <t>TSM-0009</t>
  </si>
  <si>
    <t>TSM-0010</t>
  </si>
  <si>
    <t>TSM-0011</t>
  </si>
  <si>
    <t>TSM-0012</t>
  </si>
  <si>
    <t>TSM-0013</t>
  </si>
  <si>
    <t>TSM-0014</t>
  </si>
  <si>
    <t>TSM-0015</t>
  </si>
  <si>
    <t>TSM-0016</t>
  </si>
  <si>
    <t>TSM-0017</t>
  </si>
  <si>
    <t>TSM-0018</t>
  </si>
  <si>
    <t>TSM-0019</t>
  </si>
  <si>
    <t>TSM-0020</t>
  </si>
  <si>
    <t>TSM-0021</t>
  </si>
  <si>
    <t>TSM-0022</t>
  </si>
  <si>
    <t>TSM-0023</t>
  </si>
  <si>
    <t>TSM-0024</t>
  </si>
  <si>
    <t>TSM-0025</t>
  </si>
  <si>
    <t>TSM-0026</t>
  </si>
  <si>
    <t>TSM-0027</t>
  </si>
  <si>
    <t>TSM-0028</t>
  </si>
  <si>
    <t>TSM-0029</t>
  </si>
  <si>
    <t>TSM-0030</t>
  </si>
  <si>
    <t>TSM-0031</t>
  </si>
  <si>
    <t>TSM-0032</t>
  </si>
  <si>
    <t>TRN-0032</t>
  </si>
  <si>
    <t>TSM-0033</t>
  </si>
  <si>
    <t>TRN-0033</t>
  </si>
  <si>
    <t>TSM-0034</t>
  </si>
  <si>
    <t>TRN-0034</t>
  </si>
  <si>
    <t>TSM-0035</t>
  </si>
  <si>
    <t>TRN-0035</t>
  </si>
  <si>
    <t>TSM-0036</t>
  </si>
  <si>
    <t>TRN-0036</t>
  </si>
  <si>
    <t>TSM-0037</t>
  </si>
  <si>
    <t>TRN-0037</t>
  </si>
  <si>
    <t>TSM-0038</t>
  </si>
  <si>
    <t>TRN-0038</t>
  </si>
  <si>
    <t>TSM-0039</t>
  </si>
  <si>
    <t>TRN-0039</t>
  </si>
  <si>
    <t>TSM-0040</t>
  </si>
  <si>
    <t>TRN-0040</t>
  </si>
  <si>
    <t>TSM-0041</t>
  </si>
  <si>
    <t>TRN-0041</t>
  </si>
  <si>
    <t>TSM-0042</t>
  </si>
  <si>
    <t>TRN-0042</t>
  </si>
  <si>
    <t>TSM-0043</t>
  </si>
  <si>
    <t>TRN-0043</t>
  </si>
  <si>
    <t>Assessment Blueprints</t>
  </si>
  <si>
    <t>BP-001</t>
  </si>
  <si>
    <t>Talent360i Hackfest Blueprint - no employee data</t>
  </si>
  <si>
    <t>R2R Banking Preparer Job (Preparation + Cash Posting) Skill Assessment</t>
  </si>
  <si>
    <t>Auto-generate role/skill questions and route for SME approval before scheduling</t>
  </si>
  <si>
    <t>JD / role profile + skill dictionary + role-skill matrix + existing approved question bank where available</t>
  </si>
  <si>
    <t>SME must approve before assessment can be scheduled</t>
  </si>
  <si>
    <t>Core Talent360i auto assessment generation</t>
  </si>
  <si>
    <t>BP-002</t>
  </si>
  <si>
    <t>R2R GA Preparer Job (Preparation-only) Skill Assessment</t>
  </si>
  <si>
    <t>BP-003</t>
  </si>
  <si>
    <t>R2R Consolidation Preparer Job (Execution + Pack Prep) Skill Assessment</t>
  </si>
  <si>
    <t>BP-004</t>
  </si>
  <si>
    <t>AP P2P Lead Skill Assessment</t>
  </si>
  <si>
    <t>BP-005</t>
  </si>
  <si>
    <t>AP P2P Senior Associate Skill Assessment</t>
  </si>
  <si>
    <t>BP-006</t>
  </si>
  <si>
    <t>AP T&amp;E Lead Skill Assessment</t>
  </si>
  <si>
    <t>BP-007</t>
  </si>
  <si>
    <t>O2C Billing Team Lead Skill Assessment</t>
  </si>
  <si>
    <t>BP-008</t>
  </si>
  <si>
    <t>O2C Associate Revenue Controller Skill Assessment</t>
  </si>
  <si>
    <t>BP-009</t>
  </si>
  <si>
    <t>O2C Senior Revenue Associate Skill Assessment</t>
  </si>
  <si>
    <t>Assessment QBank</t>
  </si>
  <si>
    <t>Q-0001</t>
  </si>
  <si>
    <t>Approved assessment content from source file - no employee data</t>
  </si>
  <si>
    <t>Approved source assessment</t>
  </si>
  <si>
    <t>AP and T&amp;E Lead B4 P4 hiring assessment 30 Mar.docx / Q1</t>
  </si>
  <si>
    <t>Multiple Choice - Scenario</t>
  </si>
  <si>
    <t>You have a backlog nearing SLA breach. Some invoices are pending validation.</t>
  </si>
  <si>
    <t>Process all to meet SLA</t>
  </si>
  <si>
    <t>No</t>
  </si>
  <si>
    <t>Role Ready</t>
  </si>
  <si>
    <t>Approved</t>
  </si>
  <si>
    <t>Core Selected Role</t>
  </si>
  <si>
    <t>Existing approved question; not generated by AI.</t>
  </si>
  <si>
    <t>Excel formula column in workbook checks SME status.</t>
  </si>
  <si>
    <t>Q-0002</t>
  </si>
  <si>
    <t>Q-0003</t>
  </si>
  <si>
    <t>AP and T&amp;E Lead B4 P4 hiring assessment 30 Mar.docx / Q2</t>
  </si>
  <si>
    <t>One team member overloaded, others underutilized.</t>
  </si>
  <si>
    <t>Let them manage</t>
  </si>
  <si>
    <t>Q-0004</t>
  </si>
  <si>
    <t>Q-0005</t>
  </si>
  <si>
    <t>AP and T&amp;E Lead B4 P4 hiring assessment 30 Mar.docx / Q3</t>
  </si>
  <si>
    <t>Same issue recurring across multiple invoices.</t>
  </si>
  <si>
    <t>Resolve case by case</t>
  </si>
  <si>
    <t>Q-0006</t>
  </si>
  <si>
    <t>Q-0007</t>
  </si>
  <si>
    <t>AP and T&amp;E Lead B4 P4 hiring assessment 30 Mar.docx / Q4</t>
  </si>
  <si>
    <t>Audit identifies missing approval documentation.</t>
  </si>
  <si>
    <t>Ignore</t>
  </si>
  <si>
    <t>Q-0008</t>
  </si>
  <si>
    <t>Q-0009</t>
  </si>
  <si>
    <t>AP and T&amp;E Lead B4 P4 hiring assessment 30 Mar.docx / Q5</t>
  </si>
  <si>
    <t>Bank rejects payment batch.</t>
  </si>
  <si>
    <t>Q-0010</t>
  </si>
  <si>
    <t>Q-0011</t>
  </si>
  <si>
    <t>AP and T&amp;E Lead B4 P4 hiring assessment 30 Mar.docx / Q6</t>
  </si>
  <si>
    <t>Aging &gt;90 days increasing.</t>
  </si>
  <si>
    <t>Focus only on new invoices</t>
  </si>
  <si>
    <t>Q-0012</t>
  </si>
  <si>
    <t>Q-0013</t>
  </si>
  <si>
    <t>AP and T&amp;E Lead B4 P4 hiring assessment 30 Mar.docx / Q7</t>
  </si>
  <si>
    <t>Error rate increases suddenly.</t>
  </si>
  <si>
    <t>Q-0014</t>
  </si>
  <si>
    <t>Q-0015</t>
  </si>
  <si>
    <t>AP and T&amp;E Lead B4 P4 hiring assessment 30 Mar.docx / Q8</t>
  </si>
  <si>
    <t>Business complains about delays.</t>
  </si>
  <si>
    <t>Q-0016</t>
  </si>
  <si>
    <t>Q-0017</t>
  </si>
  <si>
    <t>AP and T&amp;E Lead B4 P4 hiring assessment 30 Mar.docx / Q9</t>
  </si>
  <si>
    <t>High volume + close deadline.</t>
  </si>
  <si>
    <t>Skip controls</t>
  </si>
  <si>
    <t>Q-0018</t>
  </si>
  <si>
    <t>Q-0019</t>
  </si>
  <si>
    <t>AP and T&amp;E Lead B4 P4 hiring assessment 30 Mar.docx / Q10</t>
  </si>
  <si>
    <t>Frequent policy violations observed.</t>
  </si>
  <si>
    <t>Q-0020</t>
  </si>
  <si>
    <t>Q-0021</t>
  </si>
  <si>
    <t>AP and T&amp;E Lead B4 P4 hiring assessment 30 Mar.docx / Q11</t>
  </si>
  <si>
    <t>Team missing SLA targets.</t>
  </si>
  <si>
    <t>Q-0022</t>
  </si>
  <si>
    <t>Q-0023</t>
  </si>
  <si>
    <t>AP and T&amp;E Lead B4 P4 hiring assessment 30 Mar.docx / Q12</t>
  </si>
  <si>
    <t>Team unsure about new process.</t>
  </si>
  <si>
    <t>Q-0024</t>
  </si>
  <si>
    <t>Q-0025</t>
  </si>
  <si>
    <t>Reference In-Market P3/P4</t>
  </si>
  <si>
    <t>AP and T&amp;E Lead B4 P4 hiring assessment 30 Mar.docx / Q13</t>
  </si>
  <si>
    <t>Invoice lacks required local tax document.</t>
  </si>
  <si>
    <t>Process</t>
  </si>
  <si>
    <t>Reference - Not scheduled in selected B3/B4 cohort</t>
  </si>
  <si>
    <t>Q-0026</t>
  </si>
  <si>
    <t>AP and T&amp;E Lead B4 P4 hiring assessment 30 Mar.docx / Q14</t>
  </si>
  <si>
    <t>Urgent non-vendor payment without full documentation.</t>
  </si>
  <si>
    <t>Process urgently</t>
  </si>
  <si>
    <t>Q-0027</t>
  </si>
  <si>
    <t>AP and T&amp;E Lead B4 P4 hiring assessment 30 Mar.docx / Q15</t>
  </si>
  <si>
    <t>Tax portal shows mismatch with SAP.</t>
  </si>
  <si>
    <t>Q-0028</t>
  </si>
  <si>
    <t>AP and T&amp;E Lead B4 P4 hiring assessment 30 Mar.docx / Q16</t>
  </si>
  <si>
    <t>Country requires physical invoice copy, not available.</t>
  </si>
  <si>
    <t>Q-0029</t>
  </si>
  <si>
    <t>AP and T&amp;E Lead B4 P4 hiring assessment 30 Mar.docx / Q17</t>
  </si>
  <si>
    <t>Auditor asks for local evidence for payment.</t>
  </si>
  <si>
    <t>Provide partial</t>
  </si>
  <si>
    <t>Q-0030</t>
  </si>
  <si>
    <t>AP and T&amp;E Lead B4 P4 hiring assessment 30 Mar.docx / Q18</t>
  </si>
  <si>
    <t>Invoice in local language unclear.</t>
  </si>
  <si>
    <t>Q-0031</t>
  </si>
  <si>
    <t>AP and T&amp;E Lead B4 P4 hiring assessment 30 Mar.docx / Q19</t>
  </si>
  <si>
    <t>Manual payment rejected due to missing approval.</t>
  </si>
  <si>
    <t>Re-run</t>
  </si>
  <si>
    <t>Q-0032</t>
  </si>
  <si>
    <t>AP and T&amp;E Lead B4 P4 hiring assessment 30 Mar.docx / Q20</t>
  </si>
  <si>
    <t>Vendor claims regulatory compliance met but system rejects.</t>
  </si>
  <si>
    <t>Accept vendor claim</t>
  </si>
  <si>
    <t>Q-0033</t>
  </si>
  <si>
    <t>AP and T&amp;E Lead B4 P4 hiring assessment 30 Mar.docx / Q21</t>
  </si>
  <si>
    <t>Local VAT does not match invoice.</t>
  </si>
  <si>
    <t>Adjust</t>
  </si>
  <si>
    <t>Q-0034</t>
  </si>
  <si>
    <t>AP and T&amp;E Lead B4 P4 hiring assessment 30 Mar.docx / Q22</t>
  </si>
  <si>
    <t>Documents not stored per local regulation.</t>
  </si>
  <si>
    <t>Q-0035</t>
  </si>
  <si>
    <t>AP and T&amp;E Lead B4 P4 hiring assessment 30 Mar.docx / Q23</t>
  </si>
  <si>
    <t>SAP vs local portal vs bank mismatch.</t>
  </si>
  <si>
    <t>Q-0036</t>
  </si>
  <si>
    <t>AP and T&amp;E Lead B4 P4 hiring assessment 30 Mar.docx / Q24</t>
  </si>
  <si>
    <t>Recurring statutory non-compliance.</t>
  </si>
  <si>
    <t>Q-0037</t>
  </si>
  <si>
    <t>Synthetic Hackfest Test Data - AI-generated draft question</t>
  </si>
  <si>
    <t>AI-generated from JD/role profile + skill definition</t>
  </si>
  <si>
    <t>Generated for Hackfest; SME must approve before scheduling</t>
  </si>
  <si>
    <t>For the role P2P Lead, which action best demonstrates Proficient capability in Invoice Processing (PO &amp; Non-PO)?</t>
  </si>
  <si>
    <t>Follow the standard SOP only when instructed and wait for review before taking action.</t>
  </si>
  <si>
    <t>Apply the SOP, maintain evidence, escalate exceptions, and document the rationale for Invoice Processing (PO &amp; Non-PO).</t>
  </si>
  <si>
    <t>Skip documentation to meet speed targets and update records after the close cycle.</t>
  </si>
  <si>
    <t>Resolve the item informally without linking the action to controls, metrics or evidence.</t>
  </si>
  <si>
    <t>B</t>
  </si>
  <si>
    <t>Pending SME Review</t>
  </si>
  <si>
    <t>Yes</t>
  </si>
  <si>
    <t>Use role: P2P Lead; skill: Invoice Processing (PO &amp; Non-PO); target L3; behavior: Independently resolves exceptions (price/qty/GR issues); optimizes cycle time; ensures accurate postings.</t>
  </si>
  <si>
    <t>Q-0038</t>
  </si>
  <si>
    <t>For the role P2P Lead, which action best demonstrates Proficient capability in 3-Way Match &amp; Exception Handling?</t>
  </si>
  <si>
    <t>Apply the SOP, maintain evidence, escalate exceptions, and document the rationale for 3-Way Match &amp; Exception Handling.</t>
  </si>
  <si>
    <t>Use role: P2P Lead; skill: 3-Way Match &amp; Exception Handling; target L3; behavior: Independently investigates match breaks; coordinates with Procurement/Receiving; closes root causes.</t>
  </si>
  <si>
    <t>Q-0039</t>
  </si>
  <si>
    <t>For the role P2P Lead, which action best demonstrates Proficient capability in Tax / Withholding &amp; Regulatory Basics?</t>
  </si>
  <si>
    <t>Apply the SOP, maintain evidence, escalate exceptions, and document the rationale for Tax / Withholding &amp; Regulatory Basics.</t>
  </si>
  <si>
    <t>Use role: P2P Lead; skill: Tax / Withholding &amp; Regulatory Basics; target L3; behavior: Independently validates tax treatment for non-routine invoices; partners with Tax/Finance for resolution.</t>
  </si>
  <si>
    <t>Q-0040</t>
  </si>
  <si>
    <t>For the role P2P Lead, which action best demonstrates Proficient capability in Close Activities (Accruals, Cutoff, GR/IR)?</t>
  </si>
  <si>
    <t>Apply the SOP, maintain evidence, escalate exceptions, and document the rationale for Close Activities (Accruals, Cutoff, GR/IR).</t>
  </si>
  <si>
    <t>Use role: P2P Lead; skill: Close Activities (Accruals, Cutoff, GR/IR); target L3; behavior: Independently manages AP close tasks; resolves GR/IR and cutoff issues; improves timeliness.</t>
  </si>
  <si>
    <t>Q-0041</t>
  </si>
  <si>
    <t>For the role P2P Lead, which action best demonstrates Proficient capability in Ownership &amp; Delivery?</t>
  </si>
  <si>
    <t>Apply the SOP, maintain evidence, escalate exceptions, and document the rationale for Ownership &amp; Delivery.</t>
  </si>
  <si>
    <t>Use role: P2P Lead; skill: Ownership &amp; Delivery; target L3; behavior: Independently owns outcomes; manages exceptions and handoffs; accountable for results.</t>
  </si>
  <si>
    <t>Q-0042</t>
  </si>
  <si>
    <t>For the role P2P Senior Associate, which action best demonstrates Proficient capability in First Time Right (Quality)?</t>
  </si>
  <si>
    <t>Apply the SOP, maintain evidence, escalate exceptions, and document the rationale for First Time Right (Quality).</t>
  </si>
  <si>
    <t>Use role: P2P Senior Associate; skill: First Time Right (Quality); target L3; behavior: Independently delivers right-first-time processing; prevents defects; improves rework and rejection rates.</t>
  </si>
  <si>
    <t>Q-0043</t>
  </si>
  <si>
    <t>For the role P2P Senior Associate, which action best demonstrates Proficient capability in Invoice Processing (PO &amp; Non-PO)?</t>
  </si>
  <si>
    <t>Use role: P2P Senior Associate; skill: Invoice Processing (PO &amp; Non-PO); target L3; behavior: Independently resolves exceptions (price/qty/GR issues); optimizes cycle time; ensures accurate postings.</t>
  </si>
  <si>
    <t>Q-0044</t>
  </si>
  <si>
    <t>For the role P2P Senior Associate, which action best demonstrates Proficient capability in 3-Way Match &amp; Exception Handling?</t>
  </si>
  <si>
    <t>Use role: P2P Senior Associate; skill: 3-Way Match &amp; Exception Handling; target L3; behavior: Independently investigates match breaks; coordinates with Procurement/Receiving; closes root causes.</t>
  </si>
  <si>
    <t>Q-0045</t>
  </si>
  <si>
    <t>For the role P2P Senior Associate, which action best demonstrates Proficient capability in Payments Execution (Runs/Methods)?</t>
  </si>
  <si>
    <t>Apply the SOP, maintain evidence, escalate exceptions, and document the rationale for Payments Execution (Runs/Methods).</t>
  </si>
  <si>
    <t>Use role: P2P Senior Associate; skill: Payments Execution (Runs/Methods); target L3; behavior: Independently manages payment execution; resolves payment failures; ensures on-time, accurate disbursements.</t>
  </si>
  <si>
    <t>Q-0046</t>
  </si>
  <si>
    <t>For the role P2P Senior Associate, which action best demonstrates Proficient capability in Tax / Withholding &amp; Regulatory Basics?</t>
  </si>
  <si>
    <t>Use role: P2P Senior Associate; skill: Tax / Withholding &amp; Regulatory Basics; target L3; behavior: Independently validates tax treatment for non-routine invoices; partners with Tax/Finance for resolution.</t>
  </si>
  <si>
    <t>Q-0047</t>
  </si>
  <si>
    <t>For the role P2P Senior Associate, which action best demonstrates Proficient capability in AP Reconciliations (Subledger/GL, Vendor Statements)?</t>
  </si>
  <si>
    <t>Apply the SOP, maintain evidence, escalate exceptions, and document the rationale for AP Reconciliations (Subledger/GL, Vendor Statements).</t>
  </si>
  <si>
    <t>Use role: P2P Senior Associate; skill: AP Reconciliations (Subledger/GL, Vendor Statements); target L3; behavior: Independently resolves discrepancies; improves reconciliation quality and cycle time; maintains evidence trail.</t>
  </si>
  <si>
    <t>Q-0048</t>
  </si>
  <si>
    <t>For the role P2P Senior Associate, which action best demonstrates Proficient capability in Close Activities (Accruals, Cutoff, GR/IR)?</t>
  </si>
  <si>
    <t>Use role: P2P Senior Associate; skill: Close Activities (Accruals, Cutoff, GR/IR); target L3; behavior: Independently manages AP close tasks; resolves GR/IR and cutoff issues; improves timeliness.</t>
  </si>
  <si>
    <t>Q-0049</t>
  </si>
  <si>
    <t>For the role P2P Senior Associate, which action best demonstrates Proficient capability in Controls / Compliance / Audit (AP)?</t>
  </si>
  <si>
    <t>Apply the SOP, maintain evidence, escalate exceptions, and document the rationale for Controls / Compliance / Audit (AP).</t>
  </si>
  <si>
    <t>Needs Rewrite</t>
  </si>
  <si>
    <t>Use role: P2P Senior Associate; skill: Controls / Compliance / Audit (AP); target L3; behavior: Independently owns control execution; explains evidence; supports remediation and prevention actions.</t>
  </si>
  <si>
    <t>Q-0050</t>
  </si>
  <si>
    <t>For the role P2P Senior Associate, which action best demonstrates Proficient capability in Ownership &amp; Delivery?</t>
  </si>
  <si>
    <t>Use role: P2P Senior Associate; skill: Ownership &amp; Delivery; target L3; behavior: Independently owns outcomes; manages exceptions and handoffs; accountable for results.</t>
  </si>
  <si>
    <t>Q-0051</t>
  </si>
  <si>
    <t>For the role P2P Senior Associate, which action best demonstrates Proficient capability in SLA / Governance / Metrics?</t>
  </si>
  <si>
    <t>Apply the SOP, maintain evidence, escalate exceptions, and document the rationale for SLA / Governance / Metrics.</t>
  </si>
  <si>
    <t>Use role: P2P Senior Associate; skill: SLA / Governance / Metrics; target L3; behavior: Independently monitors KPIs; drives actions to recover SLA/backlog; improves reporting.</t>
  </si>
  <si>
    <t>Q-0052</t>
  </si>
  <si>
    <t>For the role T&amp;E Lead, which action best demonstrates Proficient capability in Ownership &amp; Delivery?</t>
  </si>
  <si>
    <t>Use role: T&amp;E Lead; skill: Ownership &amp; Delivery; target L3; behavior: Independently owns outcomes; manages exceptions and handoffs; accountable for results.</t>
  </si>
  <si>
    <t>Q-0053</t>
  </si>
  <si>
    <t>For the role T&amp;E Lead, which action best demonstrates Proficient capability in Continuous Improvement (Lean/Six Sigma)?</t>
  </si>
  <si>
    <t>Apply the SOP, maintain evidence, escalate exceptions, and document the rationale for Continuous Improvement (Lean/Six Sigma).</t>
  </si>
  <si>
    <t>Use role: T&amp;E Lead; skill: Continuous Improvement (Lean/Six Sigma); target L3; behavior: Independently runs CI improvements; implements standard work; tracks benefits.</t>
  </si>
  <si>
    <t>Q-0054</t>
  </si>
  <si>
    <t>For the role T&amp;E Lead, which action best demonstrates Proficient capability in Problem Solving (RCA/CAPA)?</t>
  </si>
  <si>
    <t>Apply the SOP, maintain evidence, escalate exceptions, and document the rationale for Problem Solving (RCA/CAPA).</t>
  </si>
  <si>
    <t>Use role: T&amp;E Lead; skill: Problem Solving (RCA/CAPA); target L3; behavior: Independently solves moderately complex problems; implements CAPA; prevents recurrence.</t>
  </si>
  <si>
    <t>Q-0055</t>
  </si>
  <si>
    <t>For the role T&amp;E Lead, which action best demonstrates Proficient capability in Project Management?</t>
  </si>
  <si>
    <t>Apply the SOP, maintain evidence, escalate exceptions, and document the rationale for Project Management.</t>
  </si>
  <si>
    <t>Use role: T&amp;E Lead; skill: Project Management; target L3; behavior: Independently runs projects; manages risks/issues; coordinates resources and timelines.</t>
  </si>
  <si>
    <t>Q-0056</t>
  </si>
  <si>
    <t>For the role Associate Revenue Controller, which action best demonstrates Advanced/Specialist capability in First Time Right (Quality)?</t>
  </si>
  <si>
    <t>Use role: Associate Revenue Controller; skill: First Time Right (Quality); target L4; behavior: Consulted for quality issues; designs quality gates and sampling checks; mentors others.</t>
  </si>
  <si>
    <t>Q-0057</t>
  </si>
  <si>
    <t>For the role Associate Revenue Controller, which action best demonstrates Advanced/Specialist capability in Order Validation &amp; Billing Setup?</t>
  </si>
  <si>
    <t>Apply the SOP, maintain evidence, escalate exceptions, and document the rationale for Order Validation &amp; Billing Setup.</t>
  </si>
  <si>
    <t>Use role: Associate Revenue Controller; skill: Order Validation &amp; Billing Setup; target L4; behavior: Go-to for complex billing setups; defines validation playbooks; trains team on edge cases.</t>
  </si>
  <si>
    <t>Q-0058</t>
  </si>
  <si>
    <t>For the role Associate Revenue Controller, which action best demonstrates Advanced/Specialist capability in Invoicing (Standard/Complex)?</t>
  </si>
  <si>
    <t>Apply the SOP, maintain evidence, escalate exceptions, and document the rationale for Invoicing (Standard/Complex).</t>
  </si>
  <si>
    <t>Use role: Associate Revenue Controller; skill: Invoicing (Standard/Complex); target L4; behavior: Consulted for difficult invoice scenarios; standardizes invoicing rules; mentors others.</t>
  </si>
  <si>
    <t>Q-0059</t>
  </si>
  <si>
    <t>For the role Associate Revenue Controller, which action best demonstrates Advanced/Specialist capability in Credit Notes / Adjustments?</t>
  </si>
  <si>
    <t>Apply the SOP, maintain evidence, escalate exceptions, and document the rationale for Credit Notes / Adjustments.</t>
  </si>
  <si>
    <t>Use role: Associate Revenue Controller; skill: Credit Notes / Adjustments; target L4; behavior: Go-to for complex adjustments; defines approval workflows and controls; trains others.</t>
  </si>
  <si>
    <t>Q-0060</t>
  </si>
  <si>
    <t>For the role Associate Revenue Controller, which action best demonstrates Advanced/Specialist capability in Revenue Assurance / Controls (Billing-to-Rev)?</t>
  </si>
  <si>
    <t>Apply the SOP, maintain evidence, escalate exceptions, and document the rationale for Revenue Assurance / Controls (Billing-to-Rev).</t>
  </si>
  <si>
    <t>Use role: Associate Revenue Controller; skill: Revenue Assurance / Controls (Billing-to-Rev); target L4; behavior: Consulted for complex revenue assurance matters; designs control frameworks and monitoring.</t>
  </si>
  <si>
    <t>Q-0061</t>
  </si>
  <si>
    <t>For the role Associate Revenue Controller, which action best demonstrates Advanced/Specialist capability in Accounts Receivable Reconciliations &amp; Aging?</t>
  </si>
  <si>
    <t>Apply the SOP, maintain evidence, escalate exceptions, and document the rationale for Accounts Receivable Reconciliations &amp; Aging.</t>
  </si>
  <si>
    <t>Use role: Associate Revenue Controller; skill: Accounts Receivable Reconciliations &amp; Aging; target L4; behavior: Consulted for complex AR issues; sets reconciliation standards; mentors others.</t>
  </si>
  <si>
    <t>Q-0062</t>
  </si>
  <si>
    <t>For the role Associate Revenue Controller, which action best demonstrates Advanced/Specialist capability in Close &amp; Reporting (O2C)?</t>
  </si>
  <si>
    <t>Apply the SOP, maintain evidence, escalate exceptions, and document the rationale for Close &amp; Reporting (O2C).</t>
  </si>
  <si>
    <t>Use role: Associate Revenue Controller; skill: Close &amp; Reporting (O2C); target L4; behavior: Go-to for close challenges; standardizes close playbooks/controls; trains teams.</t>
  </si>
  <si>
    <t>Q-0063</t>
  </si>
  <si>
    <t>For the role Associate Revenue Controller, which action best demonstrates Advanced/Specialist capability in Compliance / Audit (O2C)?</t>
  </si>
  <si>
    <t>Apply the SOP, maintain evidence, escalate exceptions, and document the rationale for Compliance / Audit (O2C).</t>
  </si>
  <si>
    <t>Use role: Associate Revenue Controller; skill: Compliance / Audit (O2C); target L4; behavior: Consulted for control design and audit readiness; strengthens control framework; mentors others.</t>
  </si>
  <si>
    <t>Q-0064</t>
  </si>
  <si>
    <t>For the role Associate Revenue Controller, which action best demonstrates Advanced/Specialist capability in Ownership &amp; Delivery?</t>
  </si>
  <si>
    <t>Use role: Associate Revenue Controller; skill: Ownership &amp; Delivery; target L4; behavior: Leads delivery across teams; builds routines and resilience; balances priorities at scale.</t>
  </si>
  <si>
    <t>Q-0065</t>
  </si>
  <si>
    <t>For the role Associate Revenue Controller, which action best demonstrates Advanced/Specialist capability in SLA / Governance / Metrics (DSO, Backlog, Accuracy)?</t>
  </si>
  <si>
    <t>Apply the SOP, maintain evidence, escalate exceptions, and document the rationale for SLA / Governance / Metrics (DSO, Backlog, Accuracy).</t>
  </si>
  <si>
    <t>Use role: Associate Revenue Controller; skill: SLA / Governance / Metrics (DSO, Backlog, Accuracy); target L4; behavior: Designs governance cadence; leads performance reviews; improves metric definitions and actions.</t>
  </si>
  <si>
    <t>Q-0066</t>
  </si>
  <si>
    <t>For the role Billing Team Lead, which action best demonstrates Proficient capability in First Time Right (Quality)?</t>
  </si>
  <si>
    <t>Use role: Billing Team Lead; skill: First Time Right (Quality); target L3; behavior: Independently delivers right-first-time outputs; prevents defects; improves rework and correction rates.</t>
  </si>
  <si>
    <t>Q-0067</t>
  </si>
  <si>
    <t>For the role Billing Team Lead, which action best demonstrates Proficient capability in Order Validation &amp; Billing Setup?</t>
  </si>
  <si>
    <t>Use role: Billing Team Lead; skill: Order Validation &amp; Billing Setup; target L3; behavior: Independently validates complex orders (pricing, terms, PO requirements); prevents downstream disputes.</t>
  </si>
  <si>
    <t>Q-0068</t>
  </si>
  <si>
    <t>For the role Billing Team Lead, which action best demonstrates Proficient capability in Invoicing (Standard/Complex)?</t>
  </si>
  <si>
    <t>Use role: Billing Team Lead; skill: Invoicing (Standard/Complex); target L3; behavior: Independently manages complex invoicing (multi-line, milestones, credits); ensures accuracy and timeliness.</t>
  </si>
  <si>
    <t>Q-0069</t>
  </si>
  <si>
    <t>For the role Billing Team Lead, which action best demonstrates Proficient capability in Credit Notes / Adjustments?</t>
  </si>
  <si>
    <t>Use role: Billing Team Lead; skill: Credit Notes / Adjustments; target L3; behavior: Independently resolves correction needs; ensures audit trail; minimizes revenue leakage.</t>
  </si>
  <si>
    <t>Q-0070</t>
  </si>
  <si>
    <t>For the role Billing Team Lead, which action best demonstrates Proficient capability in Revenue Assurance / Controls (Billing-to-Rev)?</t>
  </si>
  <si>
    <t>Use role: Billing Team Lead; skill: Revenue Assurance / Controls (Billing-to-Rev); target L3; behavior: Independently identifies revenue risk/leakage; resolves root causes; strengthens controls.</t>
  </si>
  <si>
    <t>Q-0071</t>
  </si>
  <si>
    <t>For the role Billing Team Lead, which action best demonstrates Proficient capability in Accounts Receivable Reconciliations &amp; Aging?</t>
  </si>
  <si>
    <t>Use role: Billing Team Lead; skill: Accounts Receivable Reconciliations &amp; Aging; target L3; behavior: Independently resolves discrepancies; improves reconciliation quality; maintains strong audit trail.</t>
  </si>
  <si>
    <t>Q-0072</t>
  </si>
  <si>
    <t>For the role Billing Team Lead, which action best demonstrates Proficient capability in Close &amp; Reporting (O2C)?</t>
  </si>
  <si>
    <t>Use role: Billing Team Lead; skill: Close &amp; Reporting (O2C); target L3; behavior: Independently manages O2C close deliverables; ensures completeness, accuracy, and timeliness.</t>
  </si>
  <si>
    <t>Q-0073</t>
  </si>
  <si>
    <t>For the role Billing Team Lead, which action best demonstrates Proficient capability in Compliance / Audit (O2C)?</t>
  </si>
  <si>
    <t>Use role: Billing Team Lead; skill: Compliance / Audit (O2C); target L3; behavior: Independently owns control execution; explains evidence; supports remediation and prevention actions.</t>
  </si>
  <si>
    <t>Q-0074</t>
  </si>
  <si>
    <t>For the role Billing Team Lead, which action best demonstrates Proficient capability in Ownership &amp; Delivery?</t>
  </si>
  <si>
    <t>Use role: Billing Team Lead; skill: Ownership &amp; Delivery; target L3; behavior: Independently owns outcomes; manages exceptions and handoffs; accountable for results.</t>
  </si>
  <si>
    <t>Q-0075</t>
  </si>
  <si>
    <t>For the role Billing Team Lead, which action best demonstrates Proficient capability in SLA / Governance / Metrics (DSO, Backlog, Accuracy)?</t>
  </si>
  <si>
    <t>Use role: Billing Team Lead; skill: SLA / Governance / Metrics (DSO, Backlog, Accuracy); target L3; behavior: Independently monitors KPIs; drives actions to recover SLA/DSO/backlog; improves reporting.</t>
  </si>
  <si>
    <t>Q-0076</t>
  </si>
  <si>
    <t>For the role Senior Revenue Associate, which action best demonstrates Proficient capability in First Time Right (Quality)?</t>
  </si>
  <si>
    <t>Use role: Senior Revenue Associate; skill: First Time Right (Quality); target L3; behavior: Independently delivers right-first-time outputs; prevents defects; improves rework and correction rates.</t>
  </si>
  <si>
    <t>Q-0077</t>
  </si>
  <si>
    <t>For the role Senior Revenue Associate, which action best demonstrates Proficient capability in Order Validation &amp; Billing Setup?</t>
  </si>
  <si>
    <t>Use role: Senior Revenue Associate; skill: Order Validation &amp; Billing Setup; target L3; behavior: Independently validates complex orders (pricing, terms, PO requirements); prevents downstream disputes.</t>
  </si>
  <si>
    <t>Q-0078</t>
  </si>
  <si>
    <t>For the role Senior Revenue Associate, which action best demonstrates Proficient capability in Invoicing (Standard/Complex)?</t>
  </si>
  <si>
    <t>Use role: Senior Revenue Associate; skill: Invoicing (Standard/Complex); target L3; behavior: Independently manages complex invoicing (multi-line, milestones, credits); ensures accuracy and timeliness.</t>
  </si>
  <si>
    <t>Q-0079</t>
  </si>
  <si>
    <t>For the role Senior Revenue Associate, which action best demonstrates Proficient capability in Credit Notes / Adjustments?</t>
  </si>
  <si>
    <t>Use role: Senior Revenue Associate; skill: Credit Notes / Adjustments; target L3; behavior: Independently resolves correction needs; ensures audit trail; minimizes revenue leakage.</t>
  </si>
  <si>
    <t>Q-0080</t>
  </si>
  <si>
    <t>For the role Senior Revenue Associate, which action best demonstrates Proficient capability in Revenue Assurance / Controls (Billing-to-Rev)?</t>
  </si>
  <si>
    <t>Use role: Senior Revenue Associate; skill: Revenue Assurance / Controls (Billing-to-Rev); target L3; behavior: Independently identifies revenue risk/leakage; resolves root causes; strengthens controls.</t>
  </si>
  <si>
    <t>Q-0081</t>
  </si>
  <si>
    <t>For the role Senior Revenue Associate, which action best demonstrates Proficient capability in Accounts Receivable Reconciliations &amp; Aging?</t>
  </si>
  <si>
    <t>Use role: Senior Revenue Associate; skill: Accounts Receivable Reconciliations &amp; Aging; target L3; behavior: Independently resolves discrepancies; improves reconciliation quality; maintains strong audit trail.</t>
  </si>
  <si>
    <t>Q-0082</t>
  </si>
  <si>
    <t>For the role Senior Revenue Associate, which action best demonstrates Proficient capability in Close &amp; Reporting (O2C)?</t>
  </si>
  <si>
    <t>Use role: Senior Revenue Associate; skill: Close &amp; Reporting (O2C); target L3; behavior: Independently manages O2C close deliverables; ensures completeness, accuracy, and timeliness.</t>
  </si>
  <si>
    <t>Q-0083</t>
  </si>
  <si>
    <t>For the role Senior Revenue Associate, which action best demonstrates Proficient capability in Compliance / Audit (O2C)?</t>
  </si>
  <si>
    <t>Use role: Senior Revenue Associate; skill: Compliance / Audit (O2C); target L3; behavior: Independently owns control execution; explains evidence; supports remediation and prevention actions.</t>
  </si>
  <si>
    <t>Q-0084</t>
  </si>
  <si>
    <t>For the role Senior Revenue Associate, which action best demonstrates Proficient capability in Customer / Commercial Service (Billing &amp; AR Queries)?</t>
  </si>
  <si>
    <t>Apply the SOP, maintain evidence, escalate exceptions, and document the rationale for Customer / Commercial Service (Billing &amp; AR Queries).</t>
  </si>
  <si>
    <t>Use role: Senior Revenue Associate; skill: Customer / Commercial Service (Billing &amp; AR Queries); target L3; behavior: Independently manages expectations; resolves issues proactively; improves stakeholder experience.</t>
  </si>
  <si>
    <t>Q-0085</t>
  </si>
  <si>
    <t>For the role Senior Revenue Associate, which action best demonstrates Proficient capability in Communication Skills?</t>
  </si>
  <si>
    <t>Apply the SOP, maintain evidence, escalate exceptions, and document the rationale for Communication Skills.</t>
  </si>
  <si>
    <t>Use role: Senior Revenue Associate; skill: Communication Skills; target L3; behavior: Independently communicates complex issues/decisions; influences outcomes with clarity.</t>
  </si>
  <si>
    <t>Q-0086</t>
  </si>
  <si>
    <t>For the role Banking Preparer Job (Preparation + Cash Posting), which action best demonstrates Proficient capability in First Time Right (Quality, SOX/ICFR-ready)?</t>
  </si>
  <si>
    <t>Apply the SOP, maintain evidence, escalate exceptions, and document the rationale for First Time Right (Quality, SOX/ICFR-ready).</t>
  </si>
  <si>
    <t xml:space="preserve">Use role: Banking Preparer Job (Preparation + Cash Posting); skill: First Time Right (Quality, SOX/ICFR-ready); target L3; behavior: </t>
  </si>
  <si>
    <t>Q-0087</t>
  </si>
  <si>
    <t>For the role Banking Preparer Job (Preparation + Cash Posting), which action best demonstrates Advanced/Specialist capability in Attention to Detail (SOX evidence trail / documentation)?</t>
  </si>
  <si>
    <t>Apply the SOP, maintain evidence, escalate exceptions, and document the rationale for Attention to Detail (SOX evidence trail / documentation).</t>
  </si>
  <si>
    <t xml:space="preserve">Use role: Banking Preparer Job (Preparation + Cash Posting); skill: Attention to Detail (SOX evidence trail / documentation); target L4; behavior: </t>
  </si>
  <si>
    <t>Q-0088</t>
  </si>
  <si>
    <t>For the role Banking Preparer Job (Preparation + Cash Posting), which action best demonstrates Proficient capability in R2R Close &amp; Journals (US GAAP / IFRS)?</t>
  </si>
  <si>
    <t>Apply the SOP, maintain evidence, escalate exceptions, and document the rationale for R2R Close &amp; Journals (US GAAP / IFRS).</t>
  </si>
  <si>
    <t xml:space="preserve">Use role: Banking Preparer Job (Preparation + Cash Posting); skill: R2R Close &amp; Journals (US GAAP / IFRS); target L3; behavior: </t>
  </si>
  <si>
    <t>Q-0089</t>
  </si>
  <si>
    <t>For the role Banking Preparer Job (Preparation + Cash Posting), which action best demonstrates Advanced/Specialist capability in Reconciliations &amp; Clearing (SOX/IPE balance sheet recs)?</t>
  </si>
  <si>
    <t>Apply the SOP, maintain evidence, escalate exceptions, and document the rationale for Reconciliations &amp; Clearing (SOX/IPE balance sheet recs).</t>
  </si>
  <si>
    <t xml:space="preserve">Use role: Banking Preparer Job (Preparation + Cash Posting); skill: Reconciliations &amp; Clearing (SOX/IPE balance sheet recs); target L4; behavior: </t>
  </si>
  <si>
    <t>Q-0090</t>
  </si>
  <si>
    <t>For the role Banking Preparer Job (Preparation + Cash Posting), which action best demonstrates Proficient capability in Fixed Assets &amp; Banking (IAS 16 / IAS 36 / ASC 360)?</t>
  </si>
  <si>
    <t>Apply the SOP, maintain evidence, escalate exceptions, and document the rationale for Fixed Assets &amp; Banking (IAS 16 / IAS 36 / ASC 360).</t>
  </si>
  <si>
    <t xml:space="preserve">Use role: Banking Preparer Job (Preparation + Cash Posting); skill: Fixed Assets &amp; Banking (IAS 16 / IAS 36 / ASC 360); target L3; behavior: </t>
  </si>
  <si>
    <t>Q-0091</t>
  </si>
  <si>
    <t>For the role Banking Preparer Job (Preparation + Cash Posting), which action best demonstrates Advanced/Specialist capability in Time Management?</t>
  </si>
  <si>
    <t>Apply the SOP, maintain evidence, escalate exceptions, and document the rationale for Time Management.</t>
  </si>
  <si>
    <t xml:space="preserve">Use role: Banking Preparer Job (Preparation + Cash Posting); skill: Time Management; target L4; behavior: </t>
  </si>
  <si>
    <t>Q-0092</t>
  </si>
  <si>
    <t>For the role Banking Preparer Job (Preparation + Cash Posting), which action best demonstrates Advanced/Specialist capability in Productivity Tools (Excel/PPT)?</t>
  </si>
  <si>
    <t>Apply the SOP, maintain evidence, escalate exceptions, and document the rationale for Productivity Tools (Excel/PPT).</t>
  </si>
  <si>
    <t xml:space="preserve">Use role: Banking Preparer Job (Preparation + Cash Posting); skill: Productivity Tools (Excel/PPT); target L4; behavior: </t>
  </si>
  <si>
    <t>Q-0093</t>
  </si>
  <si>
    <t>For the role Banking Preparer Job (Preparation + Cash Posting), which action best demonstrates Advanced/Specialist capability in ERP / Finance Tools (SAP/Oracle/BlackLine/OneStream) (SOX controls-in-systems)?</t>
  </si>
  <si>
    <t>Apply the SOP, maintain evidence, escalate exceptions, and document the rationale for ERP / Finance Tools (SAP/Oracle/BlackLine/OneStream) (SOX controls-in-systems).</t>
  </si>
  <si>
    <t xml:space="preserve">Use role: Banking Preparer Job (Preparation + Cash Posting); skill: ERP / Finance Tools (SAP/Oracle/BlackLine/OneStream) (SOX controls-in-systems); target L4; behavior: </t>
  </si>
  <si>
    <t>Q-0094</t>
  </si>
  <si>
    <t>For the role Banking Preparer Job (Preparation + Cash Posting), which action best demonstrates Advanced/Specialist capability in Professional Conduct?</t>
  </si>
  <si>
    <t>Apply the SOP, maintain evidence, escalate exceptions, and document the rationale for Professional Conduct.</t>
  </si>
  <si>
    <t xml:space="preserve">Use role: Banking Preparer Job (Preparation + Cash Posting); skill: Professional Conduct; target L4; behavior: </t>
  </si>
  <si>
    <t>Q-0095</t>
  </si>
  <si>
    <t>For the role Banking Preparer Job (Preparation + Cash Posting), which action best demonstrates Advanced/Specialist capability in Teamwork / Collaboration?</t>
  </si>
  <si>
    <t>Apply the SOP, maintain evidence, escalate exceptions, and document the rationale for Teamwork / Collaboration.</t>
  </si>
  <si>
    <t xml:space="preserve">Use role: Banking Preparer Job (Preparation + Cash Posting); skill: Teamwork / Collaboration; target L4; behavior: </t>
  </si>
  <si>
    <t>Q-0096</t>
  </si>
  <si>
    <t>For the role Consolidation Preparer Job (Execution + Pack Prep), which action best demonstrates Proficient capability in First Time Right (Quality, SOX/ICFR-ready)?</t>
  </si>
  <si>
    <t xml:space="preserve">Use role: Consolidation Preparer Job (Execution + Pack Prep); skill: First Time Right (Quality, SOX/ICFR-ready); target L3; behavior: </t>
  </si>
  <si>
    <t>Q-0097</t>
  </si>
  <si>
    <t>For the role Consolidation Preparer Job (Execution + Pack Prep), which action best demonstrates Advanced/Specialist capability in Attention to Detail (SOX evidence trail / documentation)?</t>
  </si>
  <si>
    <t xml:space="preserve">Use role: Consolidation Preparer Job (Execution + Pack Prep); skill: Attention to Detail (SOX evidence trail / documentation); target L4; behavior: </t>
  </si>
  <si>
    <t>Q-0098</t>
  </si>
  <si>
    <t>For the role Consolidation Preparer Job (Execution + Pack Prep), which action best demonstrates Advanced/Specialist capability in Reconciliations &amp; Clearing (SOX/IPE balance sheet recs)?</t>
  </si>
  <si>
    <t xml:space="preserve">Use role: Consolidation Preparer Job (Execution + Pack Prep); skill: Reconciliations &amp; Clearing (SOX/IPE balance sheet recs); target L4; behavior: </t>
  </si>
  <si>
    <t>Q-0099</t>
  </si>
  <si>
    <t>For the role Consolidation Preparer Job (Execution + Pack Prep), which action best demonstrates Advanced/Specialist capability in Financial Reporting (IFRS / US GAAP)?</t>
  </si>
  <si>
    <t>Apply the SOP, maintain evidence, escalate exceptions, and document the rationale for Financial Reporting (IFRS / US GAAP).</t>
  </si>
  <si>
    <t xml:space="preserve">Use role: Consolidation Preparer Job (Execution + Pack Prep); skill: Financial Reporting (IFRS / US GAAP); target L4; behavior: </t>
  </si>
  <si>
    <t>Q-0100</t>
  </si>
  <si>
    <t>For the role Consolidation Preparer Job (Execution + Pack Prep), which action best demonstrates Advanced/Specialist capability in Consolidation (IFRS 10 / IFRS 3 / IAS 21 / ASC 810)?</t>
  </si>
  <si>
    <t>Apply the SOP, maintain evidence, escalate exceptions, and document the rationale for Consolidation (IFRS 10 / IFRS 3 / IAS 21 / ASC 810).</t>
  </si>
  <si>
    <t xml:space="preserve">Use role: Consolidation Preparer Job (Execution + Pack Prep); skill: Consolidation (IFRS 10 / IFRS 3 / IAS 21 / ASC 810); target L4; behavior: </t>
  </si>
  <si>
    <t>Q-0101</t>
  </si>
  <si>
    <t>For the role Consolidation Preparer Job (Execution + Pack Prep), which action best demonstrates Advanced/Specialist capability in Time Management?</t>
  </si>
  <si>
    <t xml:space="preserve">Use role: Consolidation Preparer Job (Execution + Pack Prep); skill: Time Management; target L4; behavior: </t>
  </si>
  <si>
    <t>Q-0102</t>
  </si>
  <si>
    <t>For the role Consolidation Preparer Job (Execution + Pack Prep), which action best demonstrates Advanced/Specialist capability in Productivity Tools (Excel/PPT)?</t>
  </si>
  <si>
    <t xml:space="preserve">Use role: Consolidation Preparer Job (Execution + Pack Prep); skill: Productivity Tools (Excel/PPT); target L4; behavior: </t>
  </si>
  <si>
    <t>Q-0103</t>
  </si>
  <si>
    <t>For the role Consolidation Preparer Job (Execution + Pack Prep), which action best demonstrates Advanced/Specialist capability in ERP / Finance Tools (SAP/Oracle/BlackLine/OneStream) (SOX controls-in-systems)?</t>
  </si>
  <si>
    <t xml:space="preserve">Use role: Consolidation Preparer Job (Execution + Pack Prep); skill: ERP / Finance Tools (SAP/Oracle/BlackLine/OneStream) (SOX controls-in-systems); target L4; behavior: </t>
  </si>
  <si>
    <t>Q-0104</t>
  </si>
  <si>
    <t>For the role Consolidation Preparer Job (Execution + Pack Prep), which action best demonstrates Advanced/Specialist capability in Professional Conduct?</t>
  </si>
  <si>
    <t xml:space="preserve">Use role: Consolidation Preparer Job (Execution + Pack Prep); skill: Professional Conduct; target L4; behavior: </t>
  </si>
  <si>
    <t>Q-0105</t>
  </si>
  <si>
    <t>For the role Consolidation Preparer Job (Execution + Pack Prep), which action best demonstrates Advanced/Specialist capability in Teamwork / Collaboration?</t>
  </si>
  <si>
    <t xml:space="preserve">Use role: Consolidation Preparer Job (Execution + Pack Prep); skill: Teamwork / Collaboration; target L4; behavior: </t>
  </si>
  <si>
    <t>Q-0106</t>
  </si>
  <si>
    <t>For the role GA Preparer Job (Preparation-only), which action best demonstrates Proficient capability in First Time Right (Quality, SOX/ICFR-ready)?</t>
  </si>
  <si>
    <t xml:space="preserve">Use role: GA Preparer Job (Preparation-only); skill: First Time Right (Quality, SOX/ICFR-ready); target L3; behavior: </t>
  </si>
  <si>
    <t>Q-0107</t>
  </si>
  <si>
    <t>For the role GA Preparer Job (Preparation-only), which action best demonstrates Advanced/Specialist capability in Attention to Detail (SOX evidence trail / documentation)?</t>
  </si>
  <si>
    <t xml:space="preserve">Use role: GA Preparer Job (Preparation-only); skill: Attention to Detail (SOX evidence trail / documentation); target L4; behavior: </t>
  </si>
  <si>
    <t>Q-0108</t>
  </si>
  <si>
    <t>For the role GA Preparer Job (Preparation-only), which action best demonstrates Proficient capability in R2R Close &amp; Journals (US GAAP / IFRS)?</t>
  </si>
  <si>
    <t xml:space="preserve">Use role: GA Preparer Job (Preparation-only); skill: R2R Close &amp; Journals (US GAAP / IFRS); target L3; behavior: </t>
  </si>
  <si>
    <t>Q-0109</t>
  </si>
  <si>
    <t>For the role GA Preparer Job (Preparation-only), which action best demonstrates Advanced/Specialist capability in Reconciliations &amp; Clearing (SOX/IPE balance sheet recs)?</t>
  </si>
  <si>
    <t xml:space="preserve">Use role: GA Preparer Job (Preparation-only); skill: Reconciliations &amp; Clearing (SOX/IPE balance sheet recs); target L4; behavior: </t>
  </si>
  <si>
    <t>Q-0110</t>
  </si>
  <si>
    <t>For the role GA Preparer Job (Preparation-only), which action best demonstrates Proficient capability in Ownership &amp; Delivery?</t>
  </si>
  <si>
    <t xml:space="preserve">Use role: GA Preparer Job (Preparation-only); skill: Ownership &amp; Delivery; target L3; behavior: </t>
  </si>
  <si>
    <t>Q-0111</t>
  </si>
  <si>
    <t>For the role GA Preparer Job (Preparation-only), which action best demonstrates Advanced/Specialist capability in Time Management?</t>
  </si>
  <si>
    <t xml:space="preserve">Use role: GA Preparer Job (Preparation-only); skill: Time Management; target L4; behavior: </t>
  </si>
  <si>
    <t>Q-0112</t>
  </si>
  <si>
    <t>For the role GA Preparer Job (Preparation-only), which action best demonstrates Advanced/Specialist capability in Productivity Tools (Excel/PPT)?</t>
  </si>
  <si>
    <t xml:space="preserve">Use role: GA Preparer Job (Preparation-only); skill: Productivity Tools (Excel/PPT); target L4; behavior: </t>
  </si>
  <si>
    <t>Q-0113</t>
  </si>
  <si>
    <t>For the role GA Preparer Job (Preparation-only), which action best demonstrates Advanced/Specialist capability in ERP / Finance Tools (SAP/Oracle/BlackLine/OneStream) (SOX controls-in-systems)?</t>
  </si>
  <si>
    <t xml:space="preserve">Use role: GA Preparer Job (Preparation-only); skill: ERP / Finance Tools (SAP/Oracle/BlackLine/OneStream) (SOX controls-in-systems); target L4; behavior: </t>
  </si>
  <si>
    <t>Q-0114</t>
  </si>
  <si>
    <t>For the role GA Preparer Job (Preparation-only), which action best demonstrates Advanced/Specialist capability in Professional Conduct?</t>
  </si>
  <si>
    <t xml:space="preserve">Use role: GA Preparer Job (Preparation-only); skill: Professional Conduct; target L4; behavior: </t>
  </si>
  <si>
    <t>Q-0115</t>
  </si>
  <si>
    <t>For the role GA Preparer Job (Preparation-only), which action best demonstrates Advanced/Specialist capability in Teamwork / Collaboration?</t>
  </si>
  <si>
    <t xml:space="preserve">Use role: GA Preparer Job (Preparation-only); skill: Teamwork / Collaboration; target L4; behavior: </t>
  </si>
  <si>
    <t>SME Review Workflow</t>
  </si>
  <si>
    <t>SME-0001</t>
  </si>
  <si>
    <t>Synthetic Hackfest Test Data - SME workflow placeholder</t>
  </si>
  <si>
    <t>Tower SME / Controller / Capability Owner placeholder</t>
  </si>
  <si>
    <t>Approve as-is</t>
  </si>
  <si>
    <t>Synthetic review note only - no real manager or SME comments</t>
  </si>
  <si>
    <t>2026-09-06</t>
  </si>
  <si>
    <t>Required before schedule</t>
  </si>
  <si>
    <t>SME-0002</t>
  </si>
  <si>
    <t>2026-09-07</t>
  </si>
  <si>
    <t>SME-0003</t>
  </si>
  <si>
    <t>2026-09-08</t>
  </si>
  <si>
    <t>SME-0004</t>
  </si>
  <si>
    <t>2026-09-09</t>
  </si>
  <si>
    <t>SME-0005</t>
  </si>
  <si>
    <t>2026-09-10</t>
  </si>
  <si>
    <t>SME-0006</t>
  </si>
  <si>
    <t>2026-09-11</t>
  </si>
  <si>
    <t>SME-0007</t>
  </si>
  <si>
    <t>2026-09-05</t>
  </si>
  <si>
    <t>SME-0008</t>
  </si>
  <si>
    <t>SME-0009</t>
  </si>
  <si>
    <t>SME-0010</t>
  </si>
  <si>
    <t>SME-0011</t>
  </si>
  <si>
    <t>SME-0012</t>
  </si>
  <si>
    <t>SME-0013</t>
  </si>
  <si>
    <t>SME-0014</t>
  </si>
  <si>
    <t>SME-0015</t>
  </si>
  <si>
    <t>SME-0016</t>
  </si>
  <si>
    <t>SME-0017</t>
  </si>
  <si>
    <t>SME-0018</t>
  </si>
  <si>
    <t>SME-0019</t>
  </si>
  <si>
    <t>SME-0020</t>
  </si>
  <si>
    <t>SME-0021</t>
  </si>
  <si>
    <t>SME-0022</t>
  </si>
  <si>
    <t>SME-0023</t>
  </si>
  <si>
    <t>SME-0024</t>
  </si>
  <si>
    <t>SME-0025</t>
  </si>
  <si>
    <t>SME-0026</t>
  </si>
  <si>
    <t>SME-0027</t>
  </si>
  <si>
    <t>SME-0028</t>
  </si>
  <si>
    <t>SME-0029</t>
  </si>
  <si>
    <t>SME-0030</t>
  </si>
  <si>
    <t>SME-0031</t>
  </si>
  <si>
    <t>SME-0032</t>
  </si>
  <si>
    <t>SME-0033</t>
  </si>
  <si>
    <t>SME-0034</t>
  </si>
  <si>
    <t>SME-0035</t>
  </si>
  <si>
    <t>SME-0036</t>
  </si>
  <si>
    <t>SME-0037</t>
  </si>
  <si>
    <t>Review pending</t>
  </si>
  <si>
    <t>SME-0038</t>
  </si>
  <si>
    <t>SME-0039</t>
  </si>
  <si>
    <t>SME-0040</t>
  </si>
  <si>
    <t>SME-0041</t>
  </si>
  <si>
    <t>SME-0042</t>
  </si>
  <si>
    <t>SME-0043</t>
  </si>
  <si>
    <t>SME-0044</t>
  </si>
  <si>
    <t>SME-0045</t>
  </si>
  <si>
    <t>SME-0046</t>
  </si>
  <si>
    <t>SME-0047</t>
  </si>
  <si>
    <t>SME-0048</t>
  </si>
  <si>
    <t>SME-0049</t>
  </si>
  <si>
    <t>Rewrite wording/options</t>
  </si>
  <si>
    <t>SME-0050</t>
  </si>
  <si>
    <t>SME-0051</t>
  </si>
  <si>
    <t>SME-0052</t>
  </si>
  <si>
    <t>SME-0053</t>
  </si>
  <si>
    <t>SME-0054</t>
  </si>
  <si>
    <t>SME-0055</t>
  </si>
  <si>
    <t>SME-0056</t>
  </si>
  <si>
    <t>SME-0057</t>
  </si>
  <si>
    <t>SME-0058</t>
  </si>
  <si>
    <t>SME-0059</t>
  </si>
  <si>
    <t>SME-0060</t>
  </si>
  <si>
    <t>SME-0061</t>
  </si>
  <si>
    <t>SME-0062</t>
  </si>
  <si>
    <t>SME-0063</t>
  </si>
  <si>
    <t>SME-0064</t>
  </si>
  <si>
    <t>SME-0065</t>
  </si>
  <si>
    <t>SME-0066</t>
  </si>
  <si>
    <t>SME-0067</t>
  </si>
  <si>
    <t>SME-0068</t>
  </si>
  <si>
    <t>SME-0069</t>
  </si>
  <si>
    <t>SME-0070</t>
  </si>
  <si>
    <t>SME-0071</t>
  </si>
  <si>
    <t>SME-0072</t>
  </si>
  <si>
    <t>SME-0073</t>
  </si>
  <si>
    <t>SME-0074</t>
  </si>
  <si>
    <t>SME-0075</t>
  </si>
  <si>
    <t>SME-0076</t>
  </si>
  <si>
    <t>SME-0077</t>
  </si>
  <si>
    <t>SME-0078</t>
  </si>
  <si>
    <t>SME-0079</t>
  </si>
  <si>
    <t>SME-0080</t>
  </si>
  <si>
    <t>SME-0081</t>
  </si>
  <si>
    <t>SME-0082</t>
  </si>
  <si>
    <t>SME-0083</t>
  </si>
  <si>
    <t>SME-0084</t>
  </si>
  <si>
    <t>SME-0085</t>
  </si>
  <si>
    <t>SME-0086</t>
  </si>
  <si>
    <t>SME-0087</t>
  </si>
  <si>
    <t>SME-0088</t>
  </si>
  <si>
    <t>SME-0089</t>
  </si>
  <si>
    <t>SME-0090</t>
  </si>
  <si>
    <t>SME-0091</t>
  </si>
  <si>
    <t>SME-0092</t>
  </si>
  <si>
    <t>SME-0093</t>
  </si>
  <si>
    <t>SME-0094</t>
  </si>
  <si>
    <t>SME-0095</t>
  </si>
  <si>
    <t>SME-0096</t>
  </si>
  <si>
    <t>SME-0097</t>
  </si>
  <si>
    <t>SME-0098</t>
  </si>
  <si>
    <t>SME-0099</t>
  </si>
  <si>
    <t>SME-0100</t>
  </si>
  <si>
    <t>SME-0101</t>
  </si>
  <si>
    <t>SME-0102</t>
  </si>
  <si>
    <t>SME-0103</t>
  </si>
  <si>
    <t>SME-0104</t>
  </si>
  <si>
    <t>SME-0105</t>
  </si>
  <si>
    <t>SME-0106</t>
  </si>
  <si>
    <t>SME-0107</t>
  </si>
  <si>
    <t>SME-0108</t>
  </si>
  <si>
    <t>SME-0109</t>
  </si>
  <si>
    <t>SME-0110</t>
  </si>
  <si>
    <t>SME-0111</t>
  </si>
  <si>
    <t>SME-0112</t>
  </si>
  <si>
    <t>SME-0113</t>
  </si>
  <si>
    <t>SME-0114</t>
  </si>
  <si>
    <t>SME-0115</t>
  </si>
  <si>
    <t>Assessment Schedules</t>
  </si>
  <si>
    <t>SCH-001</t>
  </si>
  <si>
    <t>Synthetic Hackfest Test Data - scheduling placeholder</t>
  </si>
  <si>
    <t>Needs SME Approval</t>
  </si>
  <si>
    <t>2026-09-20</t>
  </si>
  <si>
    <t>2026-09-30</t>
  </si>
  <si>
    <t>Hackfest Synthetic Cohort - R2R Banking Preparer Job (Pr</t>
  </si>
  <si>
    <t>SME/Capability Owner schedules after approval</t>
  </si>
  <si>
    <t>Workbook formula version counts approved questions.</t>
  </si>
  <si>
    <t>SCH-002</t>
  </si>
  <si>
    <t>Hackfest Synthetic Cohort - R2R GA Preparer Job (Prepara</t>
  </si>
  <si>
    <t>SCH-003</t>
  </si>
  <si>
    <t>Hackfest Synthetic Cohort - R2R Consolidation Preparer J</t>
  </si>
  <si>
    <t>SCH-004</t>
  </si>
  <si>
    <t>Ready to Schedule</t>
  </si>
  <si>
    <t>Hackfest Synthetic Cohort - AP P2P Lead</t>
  </si>
  <si>
    <t>SCH-005</t>
  </si>
  <si>
    <t>Hackfest Synthetic Cohort - AP P2P Senior Associate</t>
  </si>
  <si>
    <t>SCH-006</t>
  </si>
  <si>
    <t>Hackfest Synthetic Cohort - AP T&amp;E Lead</t>
  </si>
  <si>
    <t>SCH-007</t>
  </si>
  <si>
    <t>Hackfest Synthetic Cohort - O2C Billing Team Lead</t>
  </si>
  <si>
    <t>SCH-008</t>
  </si>
  <si>
    <t>Hackfest Synthetic Cohort - O2C Associate Revenue Contro</t>
  </si>
  <si>
    <t>SCH-009</t>
  </si>
  <si>
    <t>Hackfest Synthetic Cohort - O2C Senior Revenue Associate</t>
  </si>
  <si>
    <t>Users Teams</t>
  </si>
  <si>
    <t>SYN-U001</t>
  </si>
  <si>
    <t>Synthetic Associate 001</t>
  </si>
  <si>
    <t>TEAM-R2R-BANKING_PREP</t>
  </si>
  <si>
    <t>SYN-MGR-001</t>
  </si>
  <si>
    <t>Hackfest Synthetic Cohort</t>
  </si>
  <si>
    <t>Synthetic Hackfest Test Data - not traceable to actual employees</t>
  </si>
  <si>
    <t>R2R Banking &amp; Close</t>
  </si>
  <si>
    <t>Synthetic Manager 001</t>
  </si>
  <si>
    <t>Synthetic Global Hub</t>
  </si>
  <si>
    <t>SYN-U002</t>
  </si>
  <si>
    <t>Synthetic Associate 002</t>
  </si>
  <si>
    <t>SYN-U003</t>
  </si>
  <si>
    <t>Synthetic Associate 003</t>
  </si>
  <si>
    <t>SYN-U004</t>
  </si>
  <si>
    <t>Synthetic Associate 004</t>
  </si>
  <si>
    <t>SYN-U005</t>
  </si>
  <si>
    <t>Synthetic Associate 005</t>
  </si>
  <si>
    <t>TEAM-R2R-GA_PREPARER_</t>
  </si>
  <si>
    <t>SYN-MGR-002</t>
  </si>
  <si>
    <t>Synthetic Manager 002</t>
  </si>
  <si>
    <t>SYN-U006</t>
  </si>
  <si>
    <t>Synthetic Associate 006</t>
  </si>
  <si>
    <t>SYN-U007</t>
  </si>
  <si>
    <t>Synthetic Associate 007</t>
  </si>
  <si>
    <t>SYN-U008</t>
  </si>
  <si>
    <t>Synthetic Associate 008</t>
  </si>
  <si>
    <t>SYN-U009</t>
  </si>
  <si>
    <t>Synthetic Associate 009</t>
  </si>
  <si>
    <t>TEAM-R2R-CONSOLIDATIO</t>
  </si>
  <si>
    <t>SYN-MGR-003</t>
  </si>
  <si>
    <t>Synthetic Manager 003</t>
  </si>
  <si>
    <t>SYN-U010</t>
  </si>
  <si>
    <t>Synthetic Associate 010</t>
  </si>
  <si>
    <t>SYN-U011</t>
  </si>
  <si>
    <t>Synthetic Associate 011</t>
  </si>
  <si>
    <t>SYN-U012</t>
  </si>
  <si>
    <t>Synthetic Associate 012</t>
  </si>
  <si>
    <t>SYN-U013</t>
  </si>
  <si>
    <t>Synthetic Associate 013</t>
  </si>
  <si>
    <t>TEAM-AP-P2P_LEAD</t>
  </si>
  <si>
    <t>SYN-MGR-004</t>
  </si>
  <si>
    <t>AP Invoice &amp; T&amp;E Ops</t>
  </si>
  <si>
    <t>Synthetic Manager 004</t>
  </si>
  <si>
    <t>SYN-U014</t>
  </si>
  <si>
    <t>Synthetic Associate 014</t>
  </si>
  <si>
    <t>SYN-U015</t>
  </si>
  <si>
    <t>Synthetic Associate 015</t>
  </si>
  <si>
    <t>SYN-U016</t>
  </si>
  <si>
    <t>Synthetic Associate 016</t>
  </si>
  <si>
    <t>SYN-U017</t>
  </si>
  <si>
    <t>Synthetic Associate 017</t>
  </si>
  <si>
    <t>TEAM-AP-P2P_SENIOR_A</t>
  </si>
  <si>
    <t>SYN-MGR-005</t>
  </si>
  <si>
    <t>Synthetic Manager 005</t>
  </si>
  <si>
    <t>SYN-U018</t>
  </si>
  <si>
    <t>Synthetic Associate 018</t>
  </si>
  <si>
    <t>SYN-U019</t>
  </si>
  <si>
    <t>Synthetic Associate 019</t>
  </si>
  <si>
    <t>SYN-U020</t>
  </si>
  <si>
    <t>Synthetic Associate 020</t>
  </si>
  <si>
    <t>SYN-U021</t>
  </si>
  <si>
    <t>Synthetic Associate 021</t>
  </si>
  <si>
    <t>TEAM-AP-T_E_LEAD</t>
  </si>
  <si>
    <t>SYN-MGR-006</t>
  </si>
  <si>
    <t>Synthetic Manager 006</t>
  </si>
  <si>
    <t>SYN-U022</t>
  </si>
  <si>
    <t>Synthetic Associate 022</t>
  </si>
  <si>
    <t>SYN-U023</t>
  </si>
  <si>
    <t>Synthetic Associate 023</t>
  </si>
  <si>
    <t>SYN-U024</t>
  </si>
  <si>
    <t>Synthetic Associate 024</t>
  </si>
  <si>
    <t>SYN-U025</t>
  </si>
  <si>
    <t>Synthetic Associate 025</t>
  </si>
  <si>
    <t>TEAM-O2C-BILLING_TEAM</t>
  </si>
  <si>
    <t>SYN-MGR-007</t>
  </si>
  <si>
    <t>O2C Billing &amp; Revenue Ops</t>
  </si>
  <si>
    <t>Synthetic Manager 007</t>
  </si>
  <si>
    <t>SYN-U026</t>
  </si>
  <si>
    <t>Synthetic Associate 026</t>
  </si>
  <si>
    <t>SYN-U027</t>
  </si>
  <si>
    <t>Synthetic Associate 027</t>
  </si>
  <si>
    <t>SYN-U028</t>
  </si>
  <si>
    <t>Synthetic Associate 028</t>
  </si>
  <si>
    <t>SYN-U029</t>
  </si>
  <si>
    <t>Synthetic Associate 029</t>
  </si>
  <si>
    <t>TEAM-O2C-ASSOCIATE_RE</t>
  </si>
  <si>
    <t>SYN-MGR-008</t>
  </si>
  <si>
    <t>Synthetic Manager 008</t>
  </si>
  <si>
    <t>SYN-U030</t>
  </si>
  <si>
    <t>Synthetic Associate 030</t>
  </si>
  <si>
    <t>SYN-U031</t>
  </si>
  <si>
    <t>Synthetic Associate 031</t>
  </si>
  <si>
    <t>SYN-U032</t>
  </si>
  <si>
    <t>Synthetic Associate 032</t>
  </si>
  <si>
    <t>SYN-U033</t>
  </si>
  <si>
    <t>Synthetic Associate 033</t>
  </si>
  <si>
    <t>TEAM-O2C-SENIOR_REVEN</t>
  </si>
  <si>
    <t>SYN-MGR-009</t>
  </si>
  <si>
    <t>Synthetic Manager 009</t>
  </si>
  <si>
    <t>SYN-U034</t>
  </si>
  <si>
    <t>Synthetic Associate 034</t>
  </si>
  <si>
    <t>SYN-U035</t>
  </si>
  <si>
    <t>Synthetic Associate 035</t>
  </si>
  <si>
    <t>SYN-U036</t>
  </si>
  <si>
    <t>Synthetic Associate 036</t>
  </si>
  <si>
    <t>Assessment Assignments</t>
  </si>
  <si>
    <t>ASG-0001</t>
  </si>
  <si>
    <t>2026-09-18</t>
  </si>
  <si>
    <t>Completed</t>
  </si>
  <si>
    <t>Synthetic assignment only</t>
  </si>
  <si>
    <t>ASG-0002</t>
  </si>
  <si>
    <t>ASG-0003</t>
  </si>
  <si>
    <t>Not Started</t>
  </si>
  <si>
    <t>ASG-0004</t>
  </si>
  <si>
    <t>In Progress</t>
  </si>
  <si>
    <t>ASG-0005</t>
  </si>
  <si>
    <t>ASG-0006</t>
  </si>
  <si>
    <t>ASG-0007</t>
  </si>
  <si>
    <t>ASG-0008</t>
  </si>
  <si>
    <t>ASG-0009</t>
  </si>
  <si>
    <t>ASG-0010</t>
  </si>
  <si>
    <t>ASG-0011</t>
  </si>
  <si>
    <t>ASG-0012</t>
  </si>
  <si>
    <t>ASG-0013</t>
  </si>
  <si>
    <t>ASG-0014</t>
  </si>
  <si>
    <t>ASG-0015</t>
  </si>
  <si>
    <t>ASG-0016</t>
  </si>
  <si>
    <t>ASG-0017</t>
  </si>
  <si>
    <t>ASG-0018</t>
  </si>
  <si>
    <t>ASG-0019</t>
  </si>
  <si>
    <t>ASG-0020</t>
  </si>
  <si>
    <t>ASG-0021</t>
  </si>
  <si>
    <t>ASG-0022</t>
  </si>
  <si>
    <t>ASG-0023</t>
  </si>
  <si>
    <t>ASG-0024</t>
  </si>
  <si>
    <t>ASG-0025</t>
  </si>
  <si>
    <t>ASG-0026</t>
  </si>
  <si>
    <t>ASG-0027</t>
  </si>
  <si>
    <t>ASG-0028</t>
  </si>
  <si>
    <t>ASG-0029</t>
  </si>
  <si>
    <t>ASG-0030</t>
  </si>
  <si>
    <t>ASG-0031</t>
  </si>
  <si>
    <t>ASG-0032</t>
  </si>
  <si>
    <t>ASG-0033</t>
  </si>
  <si>
    <t>ASG-0034</t>
  </si>
  <si>
    <t>ASG-0035</t>
  </si>
  <si>
    <t>ASG-0036</t>
  </si>
  <si>
    <t>Assessment Results</t>
  </si>
  <si>
    <t>RST-0001</t>
  </si>
  <si>
    <t>Scored</t>
  </si>
  <si>
    <t>Synthetic score and current-level recommendation; SME may calibrate before use</t>
  </si>
  <si>
    <t>RST-0002</t>
  </si>
  <si>
    <t>RST-0003</t>
  </si>
  <si>
    <t>No Result Yet</t>
  </si>
  <si>
    <t>RST-0004</t>
  </si>
  <si>
    <t>RST-0005</t>
  </si>
  <si>
    <t>RST-0006</t>
  </si>
  <si>
    <t>RST-0007</t>
  </si>
  <si>
    <t>RST-0008</t>
  </si>
  <si>
    <t>RST-0009</t>
  </si>
  <si>
    <t>RST-0010</t>
  </si>
  <si>
    <t>RST-0011</t>
  </si>
  <si>
    <t>RST-0012</t>
  </si>
  <si>
    <t>RST-0013</t>
  </si>
  <si>
    <t>RST-0014</t>
  </si>
  <si>
    <t>RST-0015</t>
  </si>
  <si>
    <t>RST-0016</t>
  </si>
  <si>
    <t>RST-0017</t>
  </si>
  <si>
    <t>RST-0018</t>
  </si>
  <si>
    <t>RST-0019</t>
  </si>
  <si>
    <t>RST-0020</t>
  </si>
  <si>
    <t>RST-0021</t>
  </si>
  <si>
    <t>RST-0022</t>
  </si>
  <si>
    <t>RST-0023</t>
  </si>
  <si>
    <t>RST-0024</t>
  </si>
  <si>
    <t>RST-0025</t>
  </si>
  <si>
    <t>RST-0026</t>
  </si>
  <si>
    <t>RST-0027</t>
  </si>
  <si>
    <t>RST-0028</t>
  </si>
  <si>
    <t>RST-0029</t>
  </si>
  <si>
    <t>RST-0030</t>
  </si>
  <si>
    <t>RST-0031</t>
  </si>
  <si>
    <t>RST-0032</t>
  </si>
  <si>
    <t>RST-0033</t>
  </si>
  <si>
    <t>RST-0034</t>
  </si>
  <si>
    <t>RST-0035</t>
  </si>
  <si>
    <t>RST-0036</t>
  </si>
  <si>
    <t>User Skill Assessments</t>
  </si>
  <si>
    <t>USA-00001</t>
  </si>
  <si>
    <t>Assessed</t>
  </si>
  <si>
    <t>Calibrated</t>
  </si>
  <si>
    <t>USA-00002</t>
  </si>
  <si>
    <t>Pending SME Calibration</t>
  </si>
  <si>
    <t>USA-00003</t>
  </si>
  <si>
    <t>USA-00004</t>
  </si>
  <si>
    <t>USA-00005</t>
  </si>
  <si>
    <t>USA-00006</t>
  </si>
  <si>
    <t>USA-00007</t>
  </si>
  <si>
    <t>USA-00008</t>
  </si>
  <si>
    <t>USA-00009</t>
  </si>
  <si>
    <t>USA-00010</t>
  </si>
  <si>
    <t>USA-00011</t>
  </si>
  <si>
    <t>USA-00012</t>
  </si>
  <si>
    <t>USA-00013</t>
  </si>
  <si>
    <t>USA-00014</t>
  </si>
  <si>
    <t>USA-00015</t>
  </si>
  <si>
    <t>USA-00016</t>
  </si>
  <si>
    <t>USA-00017</t>
  </si>
  <si>
    <t>USA-00018</t>
  </si>
  <si>
    <t>USA-00019</t>
  </si>
  <si>
    <t>USA-00020</t>
  </si>
  <si>
    <t>USA-00021</t>
  </si>
  <si>
    <t>Not Assessed</t>
  </si>
  <si>
    <t>Not applicable</t>
  </si>
  <si>
    <t>USA-00022</t>
  </si>
  <si>
    <t>USA-00023</t>
  </si>
  <si>
    <t>USA-00024</t>
  </si>
  <si>
    <t>USA-00025</t>
  </si>
  <si>
    <t>USA-00026</t>
  </si>
  <si>
    <t>USA-00027</t>
  </si>
  <si>
    <t>USA-00028</t>
  </si>
  <si>
    <t>USA-00029</t>
  </si>
  <si>
    <t>USA-00030</t>
  </si>
  <si>
    <t>USA-00031</t>
  </si>
  <si>
    <t>USA-00032</t>
  </si>
  <si>
    <t>USA-00033</t>
  </si>
  <si>
    <t>USA-00034</t>
  </si>
  <si>
    <t>USA-00035</t>
  </si>
  <si>
    <t>USA-00036</t>
  </si>
  <si>
    <t>USA-00037</t>
  </si>
  <si>
    <t>USA-00038</t>
  </si>
  <si>
    <t>USA-00039</t>
  </si>
  <si>
    <t>USA-00040</t>
  </si>
  <si>
    <t>USA-00041</t>
  </si>
  <si>
    <t>USA-00042</t>
  </si>
  <si>
    <t>USA-00043</t>
  </si>
  <si>
    <t>USA-00044</t>
  </si>
  <si>
    <t>USA-00045</t>
  </si>
  <si>
    <t>USA-00046</t>
  </si>
  <si>
    <t>USA-00047</t>
  </si>
  <si>
    <t>USA-00048</t>
  </si>
  <si>
    <t>USA-00049</t>
  </si>
  <si>
    <t>USA-00050</t>
  </si>
  <si>
    <t>USA-00051</t>
  </si>
  <si>
    <t>USA-00052</t>
  </si>
  <si>
    <t>USA-00053</t>
  </si>
  <si>
    <t>USA-00054</t>
  </si>
  <si>
    <t>USA-00055</t>
  </si>
  <si>
    <t>USA-00056</t>
  </si>
  <si>
    <t>USA-00057</t>
  </si>
  <si>
    <t>USA-00058</t>
  </si>
  <si>
    <t>USA-00059</t>
  </si>
  <si>
    <t>USA-00060</t>
  </si>
  <si>
    <t>USA-00061</t>
  </si>
  <si>
    <t>USA-00062</t>
  </si>
  <si>
    <t>USA-00063</t>
  </si>
  <si>
    <t>USA-00064</t>
  </si>
  <si>
    <t>USA-00065</t>
  </si>
  <si>
    <t>USA-00066</t>
  </si>
  <si>
    <t>USA-00067</t>
  </si>
  <si>
    <t>USA-00068</t>
  </si>
  <si>
    <t>USA-00069</t>
  </si>
  <si>
    <t>USA-00070</t>
  </si>
  <si>
    <t>USA-00071</t>
  </si>
  <si>
    <t>USA-00072</t>
  </si>
  <si>
    <t>USA-00073</t>
  </si>
  <si>
    <t>USA-00074</t>
  </si>
  <si>
    <t>USA-00075</t>
  </si>
  <si>
    <t>USA-00076</t>
  </si>
  <si>
    <t>USA-00077</t>
  </si>
  <si>
    <t>USA-00078</t>
  </si>
  <si>
    <t>USA-00079</t>
  </si>
  <si>
    <t>USA-00080</t>
  </si>
  <si>
    <t>USA-00081</t>
  </si>
  <si>
    <t>USA-00082</t>
  </si>
  <si>
    <t>USA-00083</t>
  </si>
  <si>
    <t>USA-00084</t>
  </si>
  <si>
    <t>USA-00085</t>
  </si>
  <si>
    <t>USA-00086</t>
  </si>
  <si>
    <t>USA-00087</t>
  </si>
  <si>
    <t>USA-00088</t>
  </si>
  <si>
    <t>USA-00089</t>
  </si>
  <si>
    <t>USA-00090</t>
  </si>
  <si>
    <t>USA-00091</t>
  </si>
  <si>
    <t>USA-00092</t>
  </si>
  <si>
    <t>USA-00093</t>
  </si>
  <si>
    <t>USA-00094</t>
  </si>
  <si>
    <t>USA-00095</t>
  </si>
  <si>
    <t>USA-00096</t>
  </si>
  <si>
    <t>USA-00097</t>
  </si>
  <si>
    <t>USA-00098</t>
  </si>
  <si>
    <t>USA-00099</t>
  </si>
  <si>
    <t>USA-00100</t>
  </si>
  <si>
    <t>USA-00101</t>
  </si>
  <si>
    <t>USA-00102</t>
  </si>
  <si>
    <t>USA-00103</t>
  </si>
  <si>
    <t>USA-00104</t>
  </si>
  <si>
    <t>USA-00105</t>
  </si>
  <si>
    <t>USA-00106</t>
  </si>
  <si>
    <t>USA-00107</t>
  </si>
  <si>
    <t>USA-00108</t>
  </si>
  <si>
    <t>USA-00109</t>
  </si>
  <si>
    <t>USA-00110</t>
  </si>
  <si>
    <t>USA-00111</t>
  </si>
  <si>
    <t>USA-00112</t>
  </si>
  <si>
    <t>USA-00113</t>
  </si>
  <si>
    <t>USA-00114</t>
  </si>
  <si>
    <t>USA-00115</t>
  </si>
  <si>
    <t>USA-00116</t>
  </si>
  <si>
    <t>USA-00117</t>
  </si>
  <si>
    <t>USA-00118</t>
  </si>
  <si>
    <t>USA-00119</t>
  </si>
  <si>
    <t>USA-00120</t>
  </si>
  <si>
    <t>USA-00121</t>
  </si>
  <si>
    <t>USA-00122</t>
  </si>
  <si>
    <t>USA-00123</t>
  </si>
  <si>
    <t>USA-00124</t>
  </si>
  <si>
    <t>USA-00125</t>
  </si>
  <si>
    <t>USA-00126</t>
  </si>
  <si>
    <t>USA-00127</t>
  </si>
  <si>
    <t>USA-00128</t>
  </si>
  <si>
    <t>USA-00129</t>
  </si>
  <si>
    <t>USA-00130</t>
  </si>
  <si>
    <t>USA-00131</t>
  </si>
  <si>
    <t>USA-00132</t>
  </si>
  <si>
    <t>USA-00133</t>
  </si>
  <si>
    <t>USA-00134</t>
  </si>
  <si>
    <t>USA-00135</t>
  </si>
  <si>
    <t>USA-00136</t>
  </si>
  <si>
    <t>USA-00137</t>
  </si>
  <si>
    <t>USA-00138</t>
  </si>
  <si>
    <t>USA-00139</t>
  </si>
  <si>
    <t>USA-00140</t>
  </si>
  <si>
    <t>USA-00141</t>
  </si>
  <si>
    <t>USA-00142</t>
  </si>
  <si>
    <t>USA-00143</t>
  </si>
  <si>
    <t>USA-00144</t>
  </si>
  <si>
    <t>USA-00145</t>
  </si>
  <si>
    <t>USA-00146</t>
  </si>
  <si>
    <t>USA-00147</t>
  </si>
  <si>
    <t>USA-00148</t>
  </si>
  <si>
    <t>USA-00149</t>
  </si>
  <si>
    <t>USA-00150</t>
  </si>
  <si>
    <t>USA-00151</t>
  </si>
  <si>
    <t>USA-00152</t>
  </si>
  <si>
    <t>USA-00153</t>
  </si>
  <si>
    <t>USA-00154</t>
  </si>
  <si>
    <t>USA-00155</t>
  </si>
  <si>
    <t>USA-00156</t>
  </si>
  <si>
    <t>USA-00157</t>
  </si>
  <si>
    <t>USA-00158</t>
  </si>
  <si>
    <t>USA-00159</t>
  </si>
  <si>
    <t>USA-00160</t>
  </si>
  <si>
    <t>USA-00161</t>
  </si>
  <si>
    <t>USA-00162</t>
  </si>
  <si>
    <t>USA-00163</t>
  </si>
  <si>
    <t>USA-00164</t>
  </si>
  <si>
    <t>USA-00165</t>
  </si>
  <si>
    <t>USA-00166</t>
  </si>
  <si>
    <t>USA-00167</t>
  </si>
  <si>
    <t>USA-00168</t>
  </si>
  <si>
    <t>USA-00169</t>
  </si>
  <si>
    <t>USA-00170</t>
  </si>
  <si>
    <t>USA-00171</t>
  </si>
  <si>
    <t>USA-00172</t>
  </si>
  <si>
    <t>USA-00173</t>
  </si>
  <si>
    <t>USA-00174</t>
  </si>
  <si>
    <t>USA-00175</t>
  </si>
  <si>
    <t>USA-00176</t>
  </si>
  <si>
    <t>USA-00177</t>
  </si>
  <si>
    <t>USA-00178</t>
  </si>
  <si>
    <t>USA-00179</t>
  </si>
  <si>
    <t>USA-00180</t>
  </si>
  <si>
    <t>USA-00181</t>
  </si>
  <si>
    <t>USA-00182</t>
  </si>
  <si>
    <t>USA-00183</t>
  </si>
  <si>
    <t>USA-00184</t>
  </si>
  <si>
    <t>USA-00185</t>
  </si>
  <si>
    <t>USA-00186</t>
  </si>
  <si>
    <t>USA-00187</t>
  </si>
  <si>
    <t>USA-00188</t>
  </si>
  <si>
    <t>USA-00189</t>
  </si>
  <si>
    <t>USA-00190</t>
  </si>
  <si>
    <t>USA-00191</t>
  </si>
  <si>
    <t>USA-00192</t>
  </si>
  <si>
    <t>USA-00193</t>
  </si>
  <si>
    <t>USA-00194</t>
  </si>
  <si>
    <t>USA-00195</t>
  </si>
  <si>
    <t>USA-00196</t>
  </si>
  <si>
    <t>USA-00197</t>
  </si>
  <si>
    <t>USA-00198</t>
  </si>
  <si>
    <t>USA-00199</t>
  </si>
  <si>
    <t>USA-00200</t>
  </si>
  <si>
    <t>USA-00201</t>
  </si>
  <si>
    <t>USA-00202</t>
  </si>
  <si>
    <t>USA-00203</t>
  </si>
  <si>
    <t>USA-00204</t>
  </si>
  <si>
    <t>USA-00205</t>
  </si>
  <si>
    <t>USA-00206</t>
  </si>
  <si>
    <t>USA-00207</t>
  </si>
  <si>
    <t>USA-00208</t>
  </si>
  <si>
    <t>USA-00209</t>
  </si>
  <si>
    <t>USA-00210</t>
  </si>
  <si>
    <t>USA-00211</t>
  </si>
  <si>
    <t>USA-00212</t>
  </si>
  <si>
    <t>USA-00213</t>
  </si>
  <si>
    <t>USA-00214</t>
  </si>
  <si>
    <t>USA-00215</t>
  </si>
  <si>
    <t>USA-00216</t>
  </si>
  <si>
    <t>USA-00217</t>
  </si>
  <si>
    <t>USA-00218</t>
  </si>
  <si>
    <t>USA-00219</t>
  </si>
  <si>
    <t>USA-00220</t>
  </si>
  <si>
    <t>USA-00221</t>
  </si>
  <si>
    <t>USA-00222</t>
  </si>
  <si>
    <t>USA-00223</t>
  </si>
  <si>
    <t>USA-00224</t>
  </si>
  <si>
    <t>USA-00225</t>
  </si>
  <si>
    <t>USA-00226</t>
  </si>
  <si>
    <t>USA-00227</t>
  </si>
  <si>
    <t>USA-00228</t>
  </si>
  <si>
    <t>USA-00229</t>
  </si>
  <si>
    <t>USA-00230</t>
  </si>
  <si>
    <t>USA-00231</t>
  </si>
  <si>
    <t>USA-00232</t>
  </si>
  <si>
    <t>USA-00233</t>
  </si>
  <si>
    <t>USA-00234</t>
  </si>
  <si>
    <t>USA-00235</t>
  </si>
  <si>
    <t>USA-00236</t>
  </si>
  <si>
    <t>USA-00237</t>
  </si>
  <si>
    <t>USA-00238</t>
  </si>
  <si>
    <t>USA-00239</t>
  </si>
  <si>
    <t>USA-00240</t>
  </si>
  <si>
    <t>USA-00241</t>
  </si>
  <si>
    <t>USA-00242</t>
  </si>
  <si>
    <t>USA-00243</t>
  </si>
  <si>
    <t>USA-00244</t>
  </si>
  <si>
    <t>USA-00245</t>
  </si>
  <si>
    <t>USA-00246</t>
  </si>
  <si>
    <t>USA-00247</t>
  </si>
  <si>
    <t>USA-00248</t>
  </si>
  <si>
    <t>USA-00249</t>
  </si>
  <si>
    <t>USA-00250</t>
  </si>
  <si>
    <t>USA-00251</t>
  </si>
  <si>
    <t>USA-00252</t>
  </si>
  <si>
    <t>USA-00253</t>
  </si>
  <si>
    <t>USA-00254</t>
  </si>
  <si>
    <t>USA-00255</t>
  </si>
  <si>
    <t>USA-00256</t>
  </si>
  <si>
    <t>USA-00257</t>
  </si>
  <si>
    <t>USA-00258</t>
  </si>
  <si>
    <t>USA-00259</t>
  </si>
  <si>
    <t>USA-00260</t>
  </si>
  <si>
    <t>USA-00261</t>
  </si>
  <si>
    <t>USA-00262</t>
  </si>
  <si>
    <t>USA-00263</t>
  </si>
  <si>
    <t>USA-00264</t>
  </si>
  <si>
    <t>USA-00265</t>
  </si>
  <si>
    <t>USA-00266</t>
  </si>
  <si>
    <t>USA-00267</t>
  </si>
  <si>
    <t>USA-00268</t>
  </si>
  <si>
    <t>USA-00269</t>
  </si>
  <si>
    <t>USA-00270</t>
  </si>
  <si>
    <t>USA-00271</t>
  </si>
  <si>
    <t>USA-00272</t>
  </si>
  <si>
    <t>USA-00273</t>
  </si>
  <si>
    <t>USA-00274</t>
  </si>
  <si>
    <t>USA-00275</t>
  </si>
  <si>
    <t>USA-00276</t>
  </si>
  <si>
    <t>USA-00277</t>
  </si>
  <si>
    <t>USA-00278</t>
  </si>
  <si>
    <t>USA-00279</t>
  </si>
  <si>
    <t>USA-00280</t>
  </si>
  <si>
    <t>USA-00281</t>
  </si>
  <si>
    <t>USA-00282</t>
  </si>
  <si>
    <t>USA-00283</t>
  </si>
  <si>
    <t>USA-00284</t>
  </si>
  <si>
    <t>USA-00285</t>
  </si>
  <si>
    <t>USA-00286</t>
  </si>
  <si>
    <t>USA-00287</t>
  </si>
  <si>
    <t>USA-00288</t>
  </si>
  <si>
    <t>USA-00289</t>
  </si>
  <si>
    <t>USA-00290</t>
  </si>
  <si>
    <t>USA-00291</t>
  </si>
  <si>
    <t>USA-00292</t>
  </si>
  <si>
    <t>USA-00293</t>
  </si>
  <si>
    <t>USA-00294</t>
  </si>
  <si>
    <t>USA-00295</t>
  </si>
  <si>
    <t>USA-00296</t>
  </si>
  <si>
    <t>USA-00297</t>
  </si>
  <si>
    <t>USA-00298</t>
  </si>
  <si>
    <t>USA-00299</t>
  </si>
  <si>
    <t>USA-00300</t>
  </si>
  <si>
    <t>USA-00301</t>
  </si>
  <si>
    <t>USA-00302</t>
  </si>
  <si>
    <t>USA-00303</t>
  </si>
  <si>
    <t>USA-00304</t>
  </si>
  <si>
    <t>USA-00305</t>
  </si>
  <si>
    <t>USA-00306</t>
  </si>
  <si>
    <t>USA-00307</t>
  </si>
  <si>
    <t>USA-00308</t>
  </si>
  <si>
    <t>USA-00309</t>
  </si>
  <si>
    <t>USA-00310</t>
  </si>
  <si>
    <t>USA-00311</t>
  </si>
  <si>
    <t>USA-00312</t>
  </si>
  <si>
    <t>USA-00313</t>
  </si>
  <si>
    <t>USA-00314</t>
  </si>
  <si>
    <t>USA-00315</t>
  </si>
  <si>
    <t>USA-00316</t>
  </si>
  <si>
    <t>USA-00317</t>
  </si>
  <si>
    <t>USA-00318</t>
  </si>
  <si>
    <t>USA-00319</t>
  </si>
  <si>
    <t>USA-00320</t>
  </si>
  <si>
    <t>USA-00321</t>
  </si>
  <si>
    <t>USA-00322</t>
  </si>
  <si>
    <t>USA-00323</t>
  </si>
  <si>
    <t>USA-00324</t>
  </si>
  <si>
    <t>USA-00325</t>
  </si>
  <si>
    <t>USA-00326</t>
  </si>
  <si>
    <t>USA-00327</t>
  </si>
  <si>
    <t>USA-00328</t>
  </si>
  <si>
    <t>USA-00329</t>
  </si>
  <si>
    <t>USA-00330</t>
  </si>
  <si>
    <t>USA-00331</t>
  </si>
  <si>
    <t>USA-00332</t>
  </si>
  <si>
    <t>USA-00333</t>
  </si>
  <si>
    <t>USA-00334</t>
  </si>
  <si>
    <t>USA-00335</t>
  </si>
  <si>
    <t>USA-00336</t>
  </si>
  <si>
    <t>USA-00337</t>
  </si>
  <si>
    <t>USA-00338</t>
  </si>
  <si>
    <t>USA-00339</t>
  </si>
  <si>
    <t>USA-00340</t>
  </si>
  <si>
    <t>USA-00341</t>
  </si>
  <si>
    <t>USA-00342</t>
  </si>
  <si>
    <t>USA-00343</t>
  </si>
  <si>
    <t>USA-00344</t>
  </si>
  <si>
    <t>USA-00345</t>
  </si>
  <si>
    <t>USA-00346</t>
  </si>
  <si>
    <t>USA-00347</t>
  </si>
  <si>
    <t>USA-00348</t>
  </si>
  <si>
    <t>USA-00349</t>
  </si>
  <si>
    <t>USA-00350</t>
  </si>
  <si>
    <t>USA-00351</t>
  </si>
  <si>
    <t>USA-00352</t>
  </si>
  <si>
    <t>USA-00353</t>
  </si>
  <si>
    <t>USA-00354</t>
  </si>
  <si>
    <t>USA-00355</t>
  </si>
  <si>
    <t>USA-00356</t>
  </si>
  <si>
    <t>USA-00357</t>
  </si>
  <si>
    <t>USA-00358</t>
  </si>
  <si>
    <t>USA-00359</t>
  </si>
  <si>
    <t>USA-00360</t>
  </si>
  <si>
    <t>Skill Gaps TNI</t>
  </si>
  <si>
    <t>GAP-00001</t>
  </si>
  <si>
    <t>No gap</t>
  </si>
  <si>
    <t>No action - at target</t>
  </si>
  <si>
    <t>GAP-00002</t>
  </si>
  <si>
    <t>Assign mapped microlearning / scenario lab and reassess</t>
  </si>
  <si>
    <t>Potential cross-tower transferable skill</t>
  </si>
  <si>
    <t>GAP-00003</t>
  </si>
  <si>
    <t>Moderate</t>
  </si>
  <si>
    <t>GAP-00004</t>
  </si>
  <si>
    <t>GAP-00005</t>
  </si>
  <si>
    <t>GAP-00006</t>
  </si>
  <si>
    <t>GAP-00007</t>
  </si>
  <si>
    <t>GAP-00008</t>
  </si>
  <si>
    <t>GAP-00009</t>
  </si>
  <si>
    <t>GAP-00010</t>
  </si>
  <si>
    <t>GAP-00011</t>
  </si>
  <si>
    <t>GAP-00012</t>
  </si>
  <si>
    <t>GAP-00013</t>
  </si>
  <si>
    <t>GAP-00014</t>
  </si>
  <si>
    <t>GAP-00015</t>
  </si>
  <si>
    <t>GAP-00016</t>
  </si>
  <si>
    <t>GAP-00017</t>
  </si>
  <si>
    <t>GAP-00018</t>
  </si>
  <si>
    <t>GAP-00019</t>
  </si>
  <si>
    <t>GAP-00020</t>
  </si>
  <si>
    <t>GAP-00021</t>
  </si>
  <si>
    <t>Assessment pending before TNI</t>
  </si>
  <si>
    <t>GAP-00022</t>
  </si>
  <si>
    <t>GAP-00023</t>
  </si>
  <si>
    <t>GAP-00024</t>
  </si>
  <si>
    <t>GAP-00025</t>
  </si>
  <si>
    <t>GAP-00026</t>
  </si>
  <si>
    <t>GAP-00027</t>
  </si>
  <si>
    <t>GAP-00028</t>
  </si>
  <si>
    <t>GAP-00029</t>
  </si>
  <si>
    <t>GAP-00030</t>
  </si>
  <si>
    <t>GAP-00031</t>
  </si>
  <si>
    <t>GAP-00032</t>
  </si>
  <si>
    <t>GAP-00033</t>
  </si>
  <si>
    <t>GAP-00034</t>
  </si>
  <si>
    <t>GAP-00035</t>
  </si>
  <si>
    <t>GAP-00036</t>
  </si>
  <si>
    <t>GAP-00037</t>
  </si>
  <si>
    <t>GAP-00038</t>
  </si>
  <si>
    <t>GAP-00039</t>
  </si>
  <si>
    <t>GAP-00040</t>
  </si>
  <si>
    <t>GAP-00041</t>
  </si>
  <si>
    <t>GAP-00042</t>
  </si>
  <si>
    <t>GAP-00043</t>
  </si>
  <si>
    <t>GAP-00044</t>
  </si>
  <si>
    <t>GAP-00045</t>
  </si>
  <si>
    <t>GAP-00046</t>
  </si>
  <si>
    <t>GAP-00047</t>
  </si>
  <si>
    <t>GAP-00048</t>
  </si>
  <si>
    <t>GAP-00049</t>
  </si>
  <si>
    <t>GAP-00050</t>
  </si>
  <si>
    <t>GAP-00051</t>
  </si>
  <si>
    <t>GAP-00052</t>
  </si>
  <si>
    <t>GAP-00053</t>
  </si>
  <si>
    <t>GAP-00054</t>
  </si>
  <si>
    <t>GAP-00055</t>
  </si>
  <si>
    <t>GAP-00056</t>
  </si>
  <si>
    <t>GAP-00057</t>
  </si>
  <si>
    <t>GAP-00058</t>
  </si>
  <si>
    <t>GAP-00059</t>
  </si>
  <si>
    <t>GAP-00060</t>
  </si>
  <si>
    <t>GAP-00061</t>
  </si>
  <si>
    <t>GAP-00062</t>
  </si>
  <si>
    <t>GAP-00063</t>
  </si>
  <si>
    <t>GAP-00064</t>
  </si>
  <si>
    <t>GAP-00065</t>
  </si>
  <si>
    <t>GAP-00066</t>
  </si>
  <si>
    <t>GAP-00067</t>
  </si>
  <si>
    <t>GAP-00068</t>
  </si>
  <si>
    <t>GAP-00069</t>
  </si>
  <si>
    <t>GAP-00070</t>
  </si>
  <si>
    <t>GAP-00071</t>
  </si>
  <si>
    <t>GAP-00072</t>
  </si>
  <si>
    <t>GAP-00073</t>
  </si>
  <si>
    <t>GAP-00074</t>
  </si>
  <si>
    <t>GAP-00075</t>
  </si>
  <si>
    <t>GAP-00076</t>
  </si>
  <si>
    <t>GAP-00077</t>
  </si>
  <si>
    <t>GAP-00078</t>
  </si>
  <si>
    <t>GAP-00079</t>
  </si>
  <si>
    <t>GAP-00080</t>
  </si>
  <si>
    <t>GAP-00081</t>
  </si>
  <si>
    <t>GAP-00082</t>
  </si>
  <si>
    <t>GAP-00083</t>
  </si>
  <si>
    <t>GAP-00084</t>
  </si>
  <si>
    <t>GAP-00085</t>
  </si>
  <si>
    <t>GAP-00086</t>
  </si>
  <si>
    <t>GAP-00087</t>
  </si>
  <si>
    <t>GAP-00088</t>
  </si>
  <si>
    <t>GAP-00089</t>
  </si>
  <si>
    <t>GAP-00090</t>
  </si>
  <si>
    <t>GAP-00091</t>
  </si>
  <si>
    <t>GAP-00092</t>
  </si>
  <si>
    <t>GAP-00093</t>
  </si>
  <si>
    <t>GAP-00094</t>
  </si>
  <si>
    <t>GAP-00095</t>
  </si>
  <si>
    <t>GAP-00096</t>
  </si>
  <si>
    <t>GAP-00097</t>
  </si>
  <si>
    <t>GAP-00098</t>
  </si>
  <si>
    <t>GAP-00099</t>
  </si>
  <si>
    <t>GAP-00100</t>
  </si>
  <si>
    <t>GAP-00101</t>
  </si>
  <si>
    <t>GAP-00102</t>
  </si>
  <si>
    <t>GAP-00103</t>
  </si>
  <si>
    <t>GAP-00104</t>
  </si>
  <si>
    <t>GAP-00105</t>
  </si>
  <si>
    <t>GAP-00106</t>
  </si>
  <si>
    <t>GAP-00107</t>
  </si>
  <si>
    <t>GAP-00108</t>
  </si>
  <si>
    <t>GAP-00109</t>
  </si>
  <si>
    <t>GAP-00110</t>
  </si>
  <si>
    <t>GAP-00111</t>
  </si>
  <si>
    <t>GAP-00112</t>
  </si>
  <si>
    <t>GAP-00113</t>
  </si>
  <si>
    <t>GAP-00114</t>
  </si>
  <si>
    <t>GAP-00115</t>
  </si>
  <si>
    <t>GAP-00116</t>
  </si>
  <si>
    <t>GAP-00117</t>
  </si>
  <si>
    <t>GAP-00118</t>
  </si>
  <si>
    <t>GAP-00119</t>
  </si>
  <si>
    <t>GAP-00120</t>
  </si>
  <si>
    <t>GAP-00121</t>
  </si>
  <si>
    <t>GAP-00122</t>
  </si>
  <si>
    <t>GAP-00123</t>
  </si>
  <si>
    <t>GAP-00124</t>
  </si>
  <si>
    <t>GAP-00125</t>
  </si>
  <si>
    <t>GAP-00126</t>
  </si>
  <si>
    <t>GAP-00127</t>
  </si>
  <si>
    <t>GAP-00128</t>
  </si>
  <si>
    <t>GAP-00129</t>
  </si>
  <si>
    <t>GAP-00130</t>
  </si>
  <si>
    <t>GAP-00131</t>
  </si>
  <si>
    <t>GAP-00132</t>
  </si>
  <si>
    <t>GAP-00133</t>
  </si>
  <si>
    <t>GAP-00134</t>
  </si>
  <si>
    <t>GAP-00135</t>
  </si>
  <si>
    <t>GAP-00136</t>
  </si>
  <si>
    <t>GAP-00137</t>
  </si>
  <si>
    <t>GAP-00138</t>
  </si>
  <si>
    <t>GAP-00139</t>
  </si>
  <si>
    <t>GAP-00140</t>
  </si>
  <si>
    <t>GAP-00141</t>
  </si>
  <si>
    <t>GAP-00142</t>
  </si>
  <si>
    <t>GAP-00143</t>
  </si>
  <si>
    <t>GAP-00144</t>
  </si>
  <si>
    <t>GAP-00145</t>
  </si>
  <si>
    <t>GAP-00146</t>
  </si>
  <si>
    <t>GAP-00147</t>
  </si>
  <si>
    <t>GAP-00148</t>
  </si>
  <si>
    <t>GAP-00149</t>
  </si>
  <si>
    <t>GAP-00150</t>
  </si>
  <si>
    <t>GAP-00151</t>
  </si>
  <si>
    <t>GAP-00152</t>
  </si>
  <si>
    <t>GAP-00153</t>
  </si>
  <si>
    <t>GAP-00154</t>
  </si>
  <si>
    <t>GAP-00155</t>
  </si>
  <si>
    <t>GAP-00156</t>
  </si>
  <si>
    <t>GAP-00157</t>
  </si>
  <si>
    <t>GAP-00158</t>
  </si>
  <si>
    <t>GAP-00159</t>
  </si>
  <si>
    <t>GAP-00160</t>
  </si>
  <si>
    <t>GAP-00161</t>
  </si>
  <si>
    <t>GAP-00162</t>
  </si>
  <si>
    <t>GAP-00163</t>
  </si>
  <si>
    <t>GAP-00164</t>
  </si>
  <si>
    <t>GAP-00165</t>
  </si>
  <si>
    <t>GAP-00166</t>
  </si>
  <si>
    <t>GAP-00167</t>
  </si>
  <si>
    <t>GAP-00168</t>
  </si>
  <si>
    <t>GAP-00169</t>
  </si>
  <si>
    <t>GAP-00170</t>
  </si>
  <si>
    <t>GAP-00171</t>
  </si>
  <si>
    <t>GAP-00172</t>
  </si>
  <si>
    <t>GAP-00173</t>
  </si>
  <si>
    <t>GAP-00174</t>
  </si>
  <si>
    <t>GAP-00175</t>
  </si>
  <si>
    <t>GAP-00176</t>
  </si>
  <si>
    <t>GAP-00177</t>
  </si>
  <si>
    <t>GAP-00178</t>
  </si>
  <si>
    <t>GAP-00179</t>
  </si>
  <si>
    <t>GAP-00180</t>
  </si>
  <si>
    <t>GAP-00181</t>
  </si>
  <si>
    <t>GAP-00182</t>
  </si>
  <si>
    <t>GAP-00183</t>
  </si>
  <si>
    <t>GAP-00184</t>
  </si>
  <si>
    <t>GAP-00185</t>
  </si>
  <si>
    <t>GAP-00186</t>
  </si>
  <si>
    <t>GAP-00187</t>
  </si>
  <si>
    <t>GAP-00188</t>
  </si>
  <si>
    <t>GAP-00189</t>
  </si>
  <si>
    <t>GAP-00190</t>
  </si>
  <si>
    <t>GAP-00191</t>
  </si>
  <si>
    <t>GAP-00192</t>
  </si>
  <si>
    <t>GAP-00193</t>
  </si>
  <si>
    <t>GAP-00194</t>
  </si>
  <si>
    <t>GAP-00195</t>
  </si>
  <si>
    <t>GAP-00196</t>
  </si>
  <si>
    <t>GAP-00197</t>
  </si>
  <si>
    <t>GAP-00198</t>
  </si>
  <si>
    <t>GAP-00199</t>
  </si>
  <si>
    <t>GAP-00200</t>
  </si>
  <si>
    <t>GAP-00201</t>
  </si>
  <si>
    <t>GAP-00202</t>
  </si>
  <si>
    <t>GAP-00203</t>
  </si>
  <si>
    <t>GAP-00204</t>
  </si>
  <si>
    <t>GAP-00205</t>
  </si>
  <si>
    <t>GAP-00206</t>
  </si>
  <si>
    <t>GAP-00207</t>
  </si>
  <si>
    <t>GAP-00208</t>
  </si>
  <si>
    <t>GAP-00209</t>
  </si>
  <si>
    <t>GAP-00210</t>
  </si>
  <si>
    <t>GAP-00211</t>
  </si>
  <si>
    <t>GAP-00212</t>
  </si>
  <si>
    <t>GAP-00213</t>
  </si>
  <si>
    <t>GAP-00214</t>
  </si>
  <si>
    <t>GAP-00215</t>
  </si>
  <si>
    <t>GAP-00216</t>
  </si>
  <si>
    <t>GAP-00217</t>
  </si>
  <si>
    <t>GAP-00218</t>
  </si>
  <si>
    <t>GAP-00219</t>
  </si>
  <si>
    <t>GAP-00220</t>
  </si>
  <si>
    <t>GAP-00221</t>
  </si>
  <si>
    <t>GAP-00222</t>
  </si>
  <si>
    <t>GAP-00223</t>
  </si>
  <si>
    <t>GAP-00224</t>
  </si>
  <si>
    <t>GAP-00225</t>
  </si>
  <si>
    <t>GAP-00226</t>
  </si>
  <si>
    <t>GAP-00227</t>
  </si>
  <si>
    <t>GAP-00228</t>
  </si>
  <si>
    <t>GAP-00229</t>
  </si>
  <si>
    <t>GAP-00230</t>
  </si>
  <si>
    <t>GAP-00231</t>
  </si>
  <si>
    <t>GAP-00232</t>
  </si>
  <si>
    <t>GAP-00233</t>
  </si>
  <si>
    <t>GAP-00234</t>
  </si>
  <si>
    <t>GAP-00235</t>
  </si>
  <si>
    <t>GAP-00236</t>
  </si>
  <si>
    <t>GAP-00237</t>
  </si>
  <si>
    <t>GAP-00238</t>
  </si>
  <si>
    <t>GAP-00239</t>
  </si>
  <si>
    <t>GAP-00240</t>
  </si>
  <si>
    <t>GAP-00241</t>
  </si>
  <si>
    <t>GAP-00242</t>
  </si>
  <si>
    <t>GAP-00243</t>
  </si>
  <si>
    <t>GAP-00244</t>
  </si>
  <si>
    <t>GAP-00245</t>
  </si>
  <si>
    <t>GAP-00246</t>
  </si>
  <si>
    <t>GAP-00247</t>
  </si>
  <si>
    <t>GAP-00248</t>
  </si>
  <si>
    <t>GAP-00249</t>
  </si>
  <si>
    <t>GAP-00250</t>
  </si>
  <si>
    <t>GAP-00251</t>
  </si>
  <si>
    <t>GAP-00252</t>
  </si>
  <si>
    <t>GAP-00253</t>
  </si>
  <si>
    <t>GAP-00254</t>
  </si>
  <si>
    <t>GAP-00255</t>
  </si>
  <si>
    <t>GAP-00256</t>
  </si>
  <si>
    <t>GAP-00257</t>
  </si>
  <si>
    <t>GAP-00258</t>
  </si>
  <si>
    <t>GAP-00259</t>
  </si>
  <si>
    <t>GAP-00260</t>
  </si>
  <si>
    <t>GAP-00261</t>
  </si>
  <si>
    <t>GAP-00262</t>
  </si>
  <si>
    <t>GAP-00263</t>
  </si>
  <si>
    <t>GAP-00264</t>
  </si>
  <si>
    <t>GAP-00265</t>
  </si>
  <si>
    <t>GAP-00266</t>
  </si>
  <si>
    <t>GAP-00267</t>
  </si>
  <si>
    <t>GAP-00268</t>
  </si>
  <si>
    <t>GAP-00269</t>
  </si>
  <si>
    <t>GAP-00270</t>
  </si>
  <si>
    <t>GAP-00271</t>
  </si>
  <si>
    <t>GAP-00272</t>
  </si>
  <si>
    <t>GAP-00273</t>
  </si>
  <si>
    <t>GAP-00274</t>
  </si>
  <si>
    <t>GAP-00275</t>
  </si>
  <si>
    <t>GAP-00276</t>
  </si>
  <si>
    <t>GAP-00277</t>
  </si>
  <si>
    <t>GAP-00278</t>
  </si>
  <si>
    <t>GAP-00279</t>
  </si>
  <si>
    <t>GAP-00280</t>
  </si>
  <si>
    <t>GAP-00281</t>
  </si>
  <si>
    <t>GAP-00282</t>
  </si>
  <si>
    <t>GAP-00283</t>
  </si>
  <si>
    <t>GAP-00284</t>
  </si>
  <si>
    <t>GAP-00285</t>
  </si>
  <si>
    <t>GAP-00286</t>
  </si>
  <si>
    <t>GAP-00287</t>
  </si>
  <si>
    <t>GAP-00288</t>
  </si>
  <si>
    <t>GAP-00289</t>
  </si>
  <si>
    <t>GAP-00290</t>
  </si>
  <si>
    <t>GAP-00291</t>
  </si>
  <si>
    <t>GAP-00292</t>
  </si>
  <si>
    <t>GAP-00293</t>
  </si>
  <si>
    <t>GAP-00294</t>
  </si>
  <si>
    <t>GAP-00295</t>
  </si>
  <si>
    <t>GAP-00296</t>
  </si>
  <si>
    <t>GAP-00297</t>
  </si>
  <si>
    <t>GAP-00298</t>
  </si>
  <si>
    <t>GAP-00299</t>
  </si>
  <si>
    <t>GAP-00300</t>
  </si>
  <si>
    <t>GAP-00301</t>
  </si>
  <si>
    <t>GAP-00302</t>
  </si>
  <si>
    <t>GAP-00303</t>
  </si>
  <si>
    <t>GAP-00304</t>
  </si>
  <si>
    <t>GAP-00305</t>
  </si>
  <si>
    <t>GAP-00306</t>
  </si>
  <si>
    <t>GAP-00307</t>
  </si>
  <si>
    <t>GAP-00308</t>
  </si>
  <si>
    <t>GAP-00309</t>
  </si>
  <si>
    <t>GAP-00310</t>
  </si>
  <si>
    <t>GAP-00311</t>
  </si>
  <si>
    <t>GAP-00312</t>
  </si>
  <si>
    <t>GAP-00313</t>
  </si>
  <si>
    <t>GAP-00314</t>
  </si>
  <si>
    <t>GAP-00315</t>
  </si>
  <si>
    <t>GAP-00316</t>
  </si>
  <si>
    <t>GAP-00317</t>
  </si>
  <si>
    <t>GAP-00318</t>
  </si>
  <si>
    <t>GAP-00319</t>
  </si>
  <si>
    <t>GAP-00320</t>
  </si>
  <si>
    <t>GAP-00321</t>
  </si>
  <si>
    <t>GAP-00322</t>
  </si>
  <si>
    <t>GAP-00323</t>
  </si>
  <si>
    <t>GAP-00324</t>
  </si>
  <si>
    <t>GAP-00325</t>
  </si>
  <si>
    <t>GAP-00326</t>
  </si>
  <si>
    <t>GAP-00327</t>
  </si>
  <si>
    <t>GAP-00328</t>
  </si>
  <si>
    <t>GAP-00329</t>
  </si>
  <si>
    <t>GAP-00330</t>
  </si>
  <si>
    <t>GAP-00331</t>
  </si>
  <si>
    <t>GAP-00332</t>
  </si>
  <si>
    <t>GAP-00333</t>
  </si>
  <si>
    <t>GAP-00334</t>
  </si>
  <si>
    <t>GAP-00335</t>
  </si>
  <si>
    <t>GAP-00336</t>
  </si>
  <si>
    <t>GAP-00337</t>
  </si>
  <si>
    <t>GAP-00338</t>
  </si>
  <si>
    <t>GAP-00339</t>
  </si>
  <si>
    <t>GAP-00340</t>
  </si>
  <si>
    <t>GAP-00341</t>
  </si>
  <si>
    <t>GAP-00342</t>
  </si>
  <si>
    <t>GAP-00343</t>
  </si>
  <si>
    <t>GAP-00344</t>
  </si>
  <si>
    <t>GAP-00345</t>
  </si>
  <si>
    <t>GAP-00346</t>
  </si>
  <si>
    <t>GAP-00347</t>
  </si>
  <si>
    <t>GAP-00348</t>
  </si>
  <si>
    <t>GAP-00349</t>
  </si>
  <si>
    <t>GAP-00350</t>
  </si>
  <si>
    <t>GAP-00351</t>
  </si>
  <si>
    <t>GAP-00352</t>
  </si>
  <si>
    <t>GAP-00353</t>
  </si>
  <si>
    <t>GAP-00354</t>
  </si>
  <si>
    <t>GAP-00355</t>
  </si>
  <si>
    <t>GAP-00356</t>
  </si>
  <si>
    <t>GAP-00357</t>
  </si>
  <si>
    <t>GAP-00358</t>
  </si>
  <si>
    <t>GAP-00359</t>
  </si>
  <si>
    <t>GAP-00360</t>
  </si>
  <si>
    <t>Skill Movement History</t>
  </si>
  <si>
    <t>MOV-00001</t>
  </si>
  <si>
    <t>2026-10-15</t>
  </si>
  <si>
    <t>Assessment result + SME calibration</t>
  </si>
  <si>
    <t>Synthetic movement history for demo</t>
  </si>
  <si>
    <t>MOV-00002</t>
  </si>
  <si>
    <t>MOV-00003</t>
  </si>
  <si>
    <t>MOV-00004</t>
  </si>
  <si>
    <t>MOV-00005</t>
  </si>
  <si>
    <t>MOV-00006</t>
  </si>
  <si>
    <t>MOV-00007</t>
  </si>
  <si>
    <t>MOV-00008</t>
  </si>
  <si>
    <t>MOV-00009</t>
  </si>
  <si>
    <t>MOV-00010</t>
  </si>
  <si>
    <t>MOV-00011</t>
  </si>
  <si>
    <t>MOV-00012</t>
  </si>
  <si>
    <t>MOV-00013</t>
  </si>
  <si>
    <t>MOV-00014</t>
  </si>
  <si>
    <t>MOV-00015</t>
  </si>
  <si>
    <t>MOV-00016</t>
  </si>
  <si>
    <t>MOV-00017</t>
  </si>
  <si>
    <t>MOV-00018</t>
  </si>
  <si>
    <t>MOV-00019</t>
  </si>
  <si>
    <t>MOV-00020</t>
  </si>
  <si>
    <t>MOV-00041</t>
  </si>
  <si>
    <t>MOV-00042</t>
  </si>
  <si>
    <t>MOV-00043</t>
  </si>
  <si>
    <t>MOV-00044</t>
  </si>
  <si>
    <t>MOV-00045</t>
  </si>
  <si>
    <t>MOV-00046</t>
  </si>
  <si>
    <t>MOV-00047</t>
  </si>
  <si>
    <t>MOV-00048</t>
  </si>
  <si>
    <t>MOV-00049</t>
  </si>
  <si>
    <t>MOV-00050</t>
  </si>
  <si>
    <t>MOV-00051</t>
  </si>
  <si>
    <t>MOV-00052</t>
  </si>
  <si>
    <t>MOV-00053</t>
  </si>
  <si>
    <t>MOV-00054</t>
  </si>
  <si>
    <t>MOV-00055</t>
  </si>
  <si>
    <t>MOV-00056</t>
  </si>
  <si>
    <t>MOV-00057</t>
  </si>
  <si>
    <t>MOV-00058</t>
  </si>
  <si>
    <t>MOV-00059</t>
  </si>
  <si>
    <t>MOV-00060</t>
  </si>
  <si>
    <t>MOV-00061</t>
  </si>
  <si>
    <t>MOV-00062</t>
  </si>
  <si>
    <t>MOV-00063</t>
  </si>
  <si>
    <t>MOV-00064</t>
  </si>
  <si>
    <t>MOV-00065</t>
  </si>
  <si>
    <t>MOV-00066</t>
  </si>
  <si>
    <t>MOV-00067</t>
  </si>
  <si>
    <t>MOV-00068</t>
  </si>
  <si>
    <t>MOV-00069</t>
  </si>
  <si>
    <t>MOV-00070</t>
  </si>
  <si>
    <t>MOV-00081</t>
  </si>
  <si>
    <t>MOV-00082</t>
  </si>
  <si>
    <t>MOV-00083</t>
  </si>
  <si>
    <t>MOV-00084</t>
  </si>
  <si>
    <t>MOV-00085</t>
  </si>
  <si>
    <t>MOV-00086</t>
  </si>
  <si>
    <t>MOV-00087</t>
  </si>
  <si>
    <t>MOV-00088</t>
  </si>
  <si>
    <t>MOV-00089</t>
  </si>
  <si>
    <t>MOV-00090</t>
  </si>
  <si>
    <t>MOV-00111</t>
  </si>
  <si>
    <t>MOV-00112</t>
  </si>
  <si>
    <t>MOV-00113</t>
  </si>
  <si>
    <t>MOV-00114</t>
  </si>
  <si>
    <t>MOV-00115</t>
  </si>
  <si>
    <t>MOV-00116</t>
  </si>
  <si>
    <t>MOV-00117</t>
  </si>
  <si>
    <t>MOV-00118</t>
  </si>
  <si>
    <t>MOV-00119</t>
  </si>
  <si>
    <t>MOV-00120</t>
  </si>
  <si>
    <t>MOV-00121</t>
  </si>
  <si>
    <t>MOV-00122</t>
  </si>
  <si>
    <t>MOV-00123</t>
  </si>
  <si>
    <t>MOV-00124</t>
  </si>
  <si>
    <t>MOV-00125</t>
  </si>
  <si>
    <t>MOV-00126</t>
  </si>
  <si>
    <t>MOV-00127</t>
  </si>
  <si>
    <t>MOV-00128</t>
  </si>
  <si>
    <t>MOV-00129</t>
  </si>
  <si>
    <t>MOV-00130</t>
  </si>
  <si>
    <t>MOV-00131</t>
  </si>
  <si>
    <t>MOV-00132</t>
  </si>
  <si>
    <t>MOV-00133</t>
  </si>
  <si>
    <t>MOV-00134</t>
  </si>
  <si>
    <t>MOV-00135</t>
  </si>
  <si>
    <t>MOV-00136</t>
  </si>
  <si>
    <t>MOV-00137</t>
  </si>
  <si>
    <t>MOV-00138</t>
  </si>
  <si>
    <t>MOV-00139</t>
  </si>
  <si>
    <t>MOV-00140</t>
  </si>
  <si>
    <t>MOV-00151</t>
  </si>
  <si>
    <t>MOV-00152</t>
  </si>
  <si>
    <t>MOV-00153</t>
  </si>
  <si>
    <t>MOV-00154</t>
  </si>
  <si>
    <t>MOV-00155</t>
  </si>
  <si>
    <t>MOV-00156</t>
  </si>
  <si>
    <t>MOV-00157</t>
  </si>
  <si>
    <t>MOV-00158</t>
  </si>
  <si>
    <t>MOV-00159</t>
  </si>
  <si>
    <t>MOV-00160</t>
  </si>
  <si>
    <t>MOV-00161</t>
  </si>
  <si>
    <t>MOV-00162</t>
  </si>
  <si>
    <t>MOV-00163</t>
  </si>
  <si>
    <t>MOV-00164</t>
  </si>
  <si>
    <t>MOV-00165</t>
  </si>
  <si>
    <t>MOV-00166</t>
  </si>
  <si>
    <t>MOV-00167</t>
  </si>
  <si>
    <t>MOV-00168</t>
  </si>
  <si>
    <t>MOV-00169</t>
  </si>
  <si>
    <t>MOV-00170</t>
  </si>
  <si>
    <t>MOV-00171</t>
  </si>
  <si>
    <t>MOV-00172</t>
  </si>
  <si>
    <t>MOV-00173</t>
  </si>
  <si>
    <t>MOV-00174</t>
  </si>
  <si>
    <t>MOV-00175</t>
  </si>
  <si>
    <t>MOV-00176</t>
  </si>
  <si>
    <t>MOV-00177</t>
  </si>
  <si>
    <t>MOV-00178</t>
  </si>
  <si>
    <t>MOV-00179</t>
  </si>
  <si>
    <t>MOV-00180</t>
  </si>
  <si>
    <t>MOV-00181</t>
  </si>
  <si>
    <t>MOV-00182</t>
  </si>
  <si>
    <t>MOV-00183</t>
  </si>
  <si>
    <t>MOV-00184</t>
  </si>
  <si>
    <t>MOV-00185</t>
  </si>
  <si>
    <t>MOV-00186</t>
  </si>
  <si>
    <t>MOV-00187</t>
  </si>
  <si>
    <t>MOV-00188</t>
  </si>
  <si>
    <t>MOV-00189</t>
  </si>
  <si>
    <t>MOV-00190</t>
  </si>
  <si>
    <t>MOV-00191</t>
  </si>
  <si>
    <t>MOV-00192</t>
  </si>
  <si>
    <t>MOV-00193</t>
  </si>
  <si>
    <t>MOV-00194</t>
  </si>
  <si>
    <t>MOV-00195</t>
  </si>
  <si>
    <t>MOV-00196</t>
  </si>
  <si>
    <t>MOV-00197</t>
  </si>
  <si>
    <t>MOV-00198</t>
  </si>
  <si>
    <t>MOV-00199</t>
  </si>
  <si>
    <t>MOV-00200</t>
  </si>
  <si>
    <t>MOV-00211</t>
  </si>
  <si>
    <t>MOV-00212</t>
  </si>
  <si>
    <t>MOV-00213</t>
  </si>
  <si>
    <t>MOV-00214</t>
  </si>
  <si>
    <t>MOV-00215</t>
  </si>
  <si>
    <t>MOV-00216</t>
  </si>
  <si>
    <t>MOV-00217</t>
  </si>
  <si>
    <t>MOV-00218</t>
  </si>
  <si>
    <t>MOV-00219</t>
  </si>
  <si>
    <t>MOV-00220</t>
  </si>
  <si>
    <t>MOV-00221</t>
  </si>
  <si>
    <t>MOV-00222</t>
  </si>
  <si>
    <t>MOV-00223</t>
  </si>
  <si>
    <t>MOV-00224</t>
  </si>
  <si>
    <t>MOV-00225</t>
  </si>
  <si>
    <t>MOV-00226</t>
  </si>
  <si>
    <t>MOV-00227</t>
  </si>
  <si>
    <t>MOV-00228</t>
  </si>
  <si>
    <t>MOV-00229</t>
  </si>
  <si>
    <t>MOV-00230</t>
  </si>
  <si>
    <t>MOV-00251</t>
  </si>
  <si>
    <t>MOV-00252</t>
  </si>
  <si>
    <t>MOV-00253</t>
  </si>
  <si>
    <t>MOV-00254</t>
  </si>
  <si>
    <t>MOV-00255</t>
  </si>
  <si>
    <t>MOV-00256</t>
  </si>
  <si>
    <t>MOV-00257</t>
  </si>
  <si>
    <t>MOV-00258</t>
  </si>
  <si>
    <t>MOV-00259</t>
  </si>
  <si>
    <t>MOV-00260</t>
  </si>
  <si>
    <t>MOV-00261</t>
  </si>
  <si>
    <t>MOV-00262</t>
  </si>
  <si>
    <t>MOV-00263</t>
  </si>
  <si>
    <t>MOV-00264</t>
  </si>
  <si>
    <t>MOV-00265</t>
  </si>
  <si>
    <t>MOV-00266</t>
  </si>
  <si>
    <t>MOV-00267</t>
  </si>
  <si>
    <t>MOV-00268</t>
  </si>
  <si>
    <t>MOV-00269</t>
  </si>
  <si>
    <t>MOV-00270</t>
  </si>
  <si>
    <t>MOV-00281</t>
  </si>
  <si>
    <t>MOV-00282</t>
  </si>
  <si>
    <t>MOV-00283</t>
  </si>
  <si>
    <t>MOV-00284</t>
  </si>
  <si>
    <t>MOV-00285</t>
  </si>
  <si>
    <t>MOV-00286</t>
  </si>
  <si>
    <t>MOV-00287</t>
  </si>
  <si>
    <t>MOV-00288</t>
  </si>
  <si>
    <t>MOV-00289</t>
  </si>
  <si>
    <t>MOV-00290</t>
  </si>
  <si>
    <t>MOV-00291</t>
  </si>
  <si>
    <t>MOV-00292</t>
  </si>
  <si>
    <t>MOV-00293</t>
  </si>
  <si>
    <t>MOV-00294</t>
  </si>
  <si>
    <t>MOV-00295</t>
  </si>
  <si>
    <t>MOV-00296</t>
  </si>
  <si>
    <t>MOV-00297</t>
  </si>
  <si>
    <t>MOV-00298</t>
  </si>
  <si>
    <t>MOV-00299</t>
  </si>
  <si>
    <t>MOV-00300</t>
  </si>
  <si>
    <t>MOV-00301</t>
  </si>
  <si>
    <t>MOV-00302</t>
  </si>
  <si>
    <t>MOV-00303</t>
  </si>
  <si>
    <t>MOV-00304</t>
  </si>
  <si>
    <t>MOV-00305</t>
  </si>
  <si>
    <t>MOV-00306</t>
  </si>
  <si>
    <t>MOV-00307</t>
  </si>
  <si>
    <t>MOV-00308</t>
  </si>
  <si>
    <t>MOV-00309</t>
  </si>
  <si>
    <t>MOV-00310</t>
  </si>
  <si>
    <t>MOV-00311</t>
  </si>
  <si>
    <t>MOV-00312</t>
  </si>
  <si>
    <t>MOV-00313</t>
  </si>
  <si>
    <t>MOV-00314</t>
  </si>
  <si>
    <t>MOV-00315</t>
  </si>
  <si>
    <t>MOV-00316</t>
  </si>
  <si>
    <t>MOV-00317</t>
  </si>
  <si>
    <t>MOV-00318</t>
  </si>
  <si>
    <t>MOV-00319</t>
  </si>
  <si>
    <t>MOV-00320</t>
  </si>
  <si>
    <t>MOV-00321</t>
  </si>
  <si>
    <t>MOV-00322</t>
  </si>
  <si>
    <t>MOV-00323</t>
  </si>
  <si>
    <t>MOV-00324</t>
  </si>
  <si>
    <t>MOV-00325</t>
  </si>
  <si>
    <t>MOV-00326</t>
  </si>
  <si>
    <t>MOV-00327</t>
  </si>
  <si>
    <t>MOV-00328</t>
  </si>
  <si>
    <t>MOV-00329</t>
  </si>
  <si>
    <t>MOV-00330</t>
  </si>
  <si>
    <t>MOV-00331</t>
  </si>
  <si>
    <t>MOV-00332</t>
  </si>
  <si>
    <t>MOV-00333</t>
  </si>
  <si>
    <t>MOV-00334</t>
  </si>
  <si>
    <t>MOV-00335</t>
  </si>
  <si>
    <t>MOV-00336</t>
  </si>
  <si>
    <t>MOV-00337</t>
  </si>
  <si>
    <t>MOV-00338</t>
  </si>
  <si>
    <t>MOV-00339</t>
  </si>
  <si>
    <t>MOV-00340</t>
  </si>
  <si>
    <t>MOV-00341</t>
  </si>
  <si>
    <t>MOV-00342</t>
  </si>
  <si>
    <t>MOV-00343</t>
  </si>
  <si>
    <t>MOV-00344</t>
  </si>
  <si>
    <t>MOV-00345</t>
  </si>
  <si>
    <t>MOV-00346</t>
  </si>
  <si>
    <t>MOV-00347</t>
  </si>
  <si>
    <t>MOV-00348</t>
  </si>
  <si>
    <t>MOV-00349</t>
  </si>
  <si>
    <t>MOV-00350</t>
  </si>
  <si>
    <t>MOV-00351</t>
  </si>
  <si>
    <t>MOV-00352</t>
  </si>
  <si>
    <t>MOV-00353</t>
  </si>
  <si>
    <t>MOV-00354</t>
  </si>
  <si>
    <t>MOV-00355</t>
  </si>
  <si>
    <t>MOV-00356</t>
  </si>
  <si>
    <t>MOV-00357</t>
  </si>
  <si>
    <t>MOV-00358</t>
  </si>
  <si>
    <t>MOV-00359</t>
  </si>
  <si>
    <t>MOV-00360</t>
  </si>
  <si>
    <t>Test Personas</t>
  </si>
  <si>
    <t>PER-01</t>
  </si>
  <si>
    <t>Approved AP Lead assessment scheduled</t>
  </si>
  <si>
    <t>Blueprint -&gt; AI questions -&gt; SME approval -&gt; schedule -&gt; assignment -&gt; assessment result -&gt; current level -&gt; TNI</t>
  </si>
  <si>
    <t>Shows the focused Talent360i auto assessment workflow with human approval and audit trail</t>
  </si>
  <si>
    <t>PER-02</t>
  </si>
  <si>
    <t>AI-generated question bank awaiting SME approval</t>
  </si>
  <si>
    <t>PER-03</t>
  </si>
  <si>
    <t>R2R current level calculated from auto assessment</t>
  </si>
  <si>
    <t>PER-04</t>
  </si>
  <si>
    <t>O2C P4 role with high control gap and TNI</t>
  </si>
  <si>
    <t>PER-05</t>
  </si>
  <si>
    <t>Incomplete assessment exception path</t>
  </si>
  <si>
    <t>MVP Acceptance</t>
  </si>
  <si>
    <t>MVP-01</t>
  </si>
  <si>
    <t>Auto-generate assessment blueprint from role and skill data</t>
  </si>
  <si>
    <t>Role_Master, Role_Skill_Map, Skill_Master, Proficiency_Levels, Assessment_Blueprints</t>
  </si>
  <si>
    <t>For a selected role, the system creates a blueprint with linked skills, target levels and question count.</t>
  </si>
  <si>
    <t>Ready</t>
  </si>
  <si>
    <t>MVP-02</t>
  </si>
  <si>
    <t>Generate question bank from JD, role profile and skill indicator</t>
  </si>
  <si>
    <t>Role_Descriptions, Role_Skill_Map, Assessment_QBank</t>
  </si>
  <si>
    <t>Each AI-generated question is tagged to role, skill, level, source basis and confidence.</t>
  </si>
  <si>
    <t>MVP-03</t>
  </si>
  <si>
    <t>Use approved assessment where already available</t>
  </si>
  <si>
    <t>Assessment_QBank, Source_Analysis</t>
  </si>
  <si>
    <t>AP/T&amp;E approved questions are loaded as source-approved, not AI-generated.</t>
  </si>
  <si>
    <t>MVP-04</t>
  </si>
  <si>
    <t>SME human-in-the-loop approval</t>
  </si>
  <si>
    <t>SME_Review_Workflow, Assessment_QBank</t>
  </si>
  <si>
    <t>Questions not approved by SME are not eligible for scheduling.</t>
  </si>
  <si>
    <t>MVP-05</t>
  </si>
  <si>
    <t>Schedule only approved assessments</t>
  </si>
  <si>
    <t>Assessment_Schedules, Assessment_Assignments</t>
  </si>
  <si>
    <t>Scheduling status changes only when enough approved questions exist.</t>
  </si>
  <si>
    <t>MVP-06</t>
  </si>
  <si>
    <t>Employee assessment and score capture</t>
  </si>
  <si>
    <t>Assessment_Assignments, Assessment_Results</t>
  </si>
  <si>
    <t>Synthetic users can receive assignments and produce pass/fail and recommended current level.</t>
  </si>
  <si>
    <t>MVP-07</t>
  </si>
  <si>
    <t>Current level and gap-to-target calculation</t>
  </si>
  <si>
    <t>User_Skill_Assessments, Skill_Gaps_TNI</t>
  </si>
  <si>
    <t>Current level and gap severity are calculated from assessment outcomes and target role levels.</t>
  </si>
  <si>
    <t>MVP-08</t>
  </si>
  <si>
    <t>TNI recommendation from confirmed gap</t>
  </si>
  <si>
    <t>Skill_Gaps_TNI, Training_Catalogue, Training_Skill_Map</t>
  </si>
  <si>
    <t>Gaps map to relevant training / microlearning / scenario labs where source mappings exist.</t>
  </si>
  <si>
    <t>MVP-09</t>
  </si>
  <si>
    <t>Cross-functional recommendation signal</t>
  </si>
  <si>
    <t>Skill_Gaps_TNI, Skill_Master</t>
  </si>
  <si>
    <t>Transferable skills are highlighted but not used for final mobility decisions.</t>
  </si>
  <si>
    <t>MVP-10</t>
  </si>
  <si>
    <t>Privacy-safe Hackfest dataset</t>
  </si>
  <si>
    <t>Users_Teams, Privacy_RAI, Validation_Checks</t>
  </si>
  <si>
    <t>All people-level data is synthetic; no real names, emails, IDs or comments.</t>
  </si>
  <si>
    <t>Privacy RAI</t>
  </si>
  <si>
    <t>Synthetic people data</t>
  </si>
  <si>
    <t>All user IDs, names, manager assignments, assessment results, training and skill-gap records are Synthetic Hackfest Test Data.</t>
  </si>
  <si>
    <t>Implemented</t>
  </si>
  <si>
    <t>No real PII</t>
  </si>
  <si>
    <t>No real employee names, emails, employee IDs, manager names, contact details or performance ratings are included.</t>
  </si>
  <si>
    <t>Human-in-the-loop</t>
  </si>
  <si>
    <t>AI-generated questions are drafts. SME approval is required before scheduling.</t>
  </si>
  <si>
    <t>Purpose limitation</t>
  </si>
  <si>
    <t>Dataset is for Hackfest prototype and demo testing only; not for production decisions.</t>
  </si>
  <si>
    <t>Assessment fairness</t>
  </si>
  <si>
    <t>SME review should check relevance, difficulty, bias, answer correctness and control sensitivity.</t>
  </si>
  <si>
    <t>Design guardrail</t>
  </si>
  <si>
    <t>Access control</t>
  </si>
  <si>
    <t>Prototype should use role-based access for question authors, SMEs, schedulers, managers and learners.</t>
  </si>
  <si>
    <t>Audit trail</t>
  </si>
  <si>
    <t>Question generation, SME decision, scheduling and result changes should be timestamped in production.</t>
  </si>
  <si>
    <t>SkillPath roadmap boundary</t>
  </si>
  <si>
    <t>Evidence submission, manager validation and broader readiness/mobility signals are acknowledged but not core to this Talent360i dataset version.</t>
  </si>
  <si>
    <t>Clarified</t>
  </si>
  <si>
    <t>Roadmap Boundary</t>
  </si>
  <si>
    <t>Roadmap-01</t>
  </si>
  <si>
    <t>Evidence submission and manager validation</t>
  </si>
  <si>
    <t>Broad SkillPath capability validation feature</t>
  </si>
  <si>
    <t>Kept out of core Hackfest dataset; can be added after assessment MVP</t>
  </si>
  <si>
    <t>Roadmap-02</t>
  </si>
  <si>
    <t>Role-readiness and succession signals</t>
  </si>
  <si>
    <t>Leadership talent planning feature</t>
  </si>
  <si>
    <t>Use only after privacy/legal/HR approvals and validated assessment model</t>
  </si>
  <si>
    <t>Roadmap-03</t>
  </si>
  <si>
    <t>SOP-to-question generation</t>
  </si>
  <si>
    <t>Automated question generation from SOPs and manuals</t>
  </si>
  <si>
    <t>Can be explored later with strong content governance and SME review</t>
  </si>
  <si>
    <t>Roadmap-04</t>
  </si>
  <si>
    <t>Adaptive difficulty and proctoring</t>
  </si>
  <si>
    <t>Talent360i assessment enhancement</t>
  </si>
  <si>
    <t>Included in feature spec but not required for first prototype dataset</t>
  </si>
  <si>
    <t>Roadmap-05</t>
  </si>
  <si>
    <t>Workday development plans</t>
  </si>
  <si>
    <t>Workday integration roadmap</t>
  </si>
  <si>
    <t>Use aggregate or approved learning metadata only until privacy approvals are complete</t>
  </si>
  <si>
    <t>Validation Checks</t>
  </si>
  <si>
    <t>CHK-01</t>
  </si>
  <si>
    <t>All people records synthetic</t>
  </si>
  <si>
    <t>Pass</t>
  </si>
  <si>
    <t>36 synthetic users; names start with Synthetic and IDs start with SYN-</t>
  </si>
  <si>
    <t>CHK-02</t>
  </si>
  <si>
    <t>No email columns in people sheets</t>
  </si>
  <si>
    <t>Users_Teams contains no email address column.</t>
  </si>
  <si>
    <t>CHK-03</t>
  </si>
  <si>
    <t>All selected roles have role-skill mapping</t>
  </si>
  <si>
    <t>Every selected role has at least one mapped skill.</t>
  </si>
  <si>
    <t>CHK-04</t>
  </si>
  <si>
    <t>Question bank has SME status</t>
  </si>
  <si>
    <t>Each question carries SME status and approved_for_schedule flag.</t>
  </si>
  <si>
    <t>CHK-05</t>
  </si>
  <si>
    <t>Scheduling gated by approval</t>
  </si>
  <si>
    <t>Assessment_Schedules counts approved questions and flags readiness.</t>
  </si>
  <si>
    <t>CHK-06</t>
  </si>
  <si>
    <t>Approved content distinguished from AI generated</t>
  </si>
  <si>
    <t>question_source separates Approved source assessment from AI-generated draft.</t>
  </si>
  <si>
    <t>CHK-07</t>
  </si>
  <si>
    <t>Reference JDs not converted into real users</t>
  </si>
  <si>
    <t>B2 reference JDs are analyzed but not used for selected B3/B4 synthetic user cohort.</t>
  </si>
  <si>
    <t>CHK-08</t>
  </si>
  <si>
    <t>No unsupported evidence/performance data</t>
  </si>
  <si>
    <t>No real performance ratings, free-text manager comments or employee evidence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</si>
</sst>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6"/>
      <color rgb="FFFFFFFF"/>
      <name val="Calibri"/>
    </font>
    <font>
      <i/>
      <sz val="11"/>
      <color rgb="FF666666"/>
      <name val="Calibri"/>
    </font>
    <font>
      <b/>
      <sz val="11"/>
      <color rgb="FFFFFFFF"/>
      <name val="Calibri"/>
    </font>
    <font>
      <sz val="11"/>
      <color rgb="FF7030A0"/>
      <name val="Calibri"/>
    </font>
    <font>
      <sz val="11"/>
      <color rgb="FF008000"/>
      <name val="Calibri"/>
    </font>
    <font>
      <sz val="11"/>
      <color rgb="FF0000FF"/>
      <name val="Calibri"/>
    </font>
    <font>
      <b/>
      <sz val="13"/>
      <color rgb="FF0B1F3A"/>
      <name val="Calibri"/>
    </font>
    <font>
      <sz val="11"/>
      <color rgb="FF000000"/>
      <name val="Calibri"/>
    </font>
  </fonts>
  <fills count="6">
    <fill>
      <patternFill patternType="none"/>
    </fill>
    <fill>
      <patternFill patternType="gray125"/>
    </fill>
    <fill>
      <patternFill patternType="solid">
        <fgColor rgb="FF0B1F3A"/>
      </patternFill>
    </fill>
    <fill>
      <patternFill patternType="solid">
        <fgColor rgb="FF1F66E5"/>
      </patternFill>
    </fill>
    <fill>
      <patternFill patternType="solid">
        <fgColor rgb="FF0EAD9A"/>
      </patternFill>
    </fill>
    <fill>
      <patternFill patternType="solid">
        <fgColor rgb="FFF8FBFF"/>
      </patternFill>
    </fill>
  </fills>
  <borders count="2">
    <border>
      <left/>
      <right/>
      <top/>
      <bottom/>
      <diagonal/>
    </border>
    <border>
      <left/>
      <right/>
      <top/>
      <bottom style="thin">
        <color rgb="FFD9E2F3"/>
      </bottom>
      <diagonal/>
    </border>
  </borders>
  <cellStyleXfs count="1">
    <xf numFmtId="0" fontId="0" fillId="0" borderId="0"/>
  </cellStyleXfs>
  <cellXfs count="18">
    <xf numFmtId="0" fontId="0" fillId="0" borderId="0" xfId="0"/>
    <xf numFmtId="0" fontId="2" fillId="0" borderId="0" xfId="0" applyFont="1"/>
    <xf numFmtId="0" fontId="3" fillId="3" borderId="1" xfId="0" applyFont="1" applyFill="1" applyBorder="1" applyAlignment="1">
      <alignment vertical="center" wrapText="1"/>
    </xf>
    <xf numFmtId="0" fontId="0" fillId="0" borderId="1" xfId="0" applyBorder="1"/>
    <xf numFmtId="0" fontId="4" fillId="5" borderId="1" xfId="0" applyFont="1" applyFill="1" applyBorder="1" applyAlignment="1">
      <alignment vertical="top" wrapText="1"/>
    </xf>
    <xf numFmtId="0" fontId="0" fillId="5" borderId="1" xfId="0" applyFill="1" applyBorder="1"/>
    <xf numFmtId="0" fontId="4" fillId="0" borderId="1" xfId="0" applyFont="1" applyBorder="1" applyAlignment="1">
      <alignment vertical="top" wrapText="1"/>
    </xf>
    <xf numFmtId="0" fontId="7" fillId="0" borderId="1" xfId="0" applyFont="1" applyBorder="1"/>
    <xf numFmtId="0" fontId="3" fillId="5" borderId="1" xfId="0" applyFont="1" applyFill="1" applyBorder="1"/>
    <xf numFmtId="0" fontId="5" fillId="5" borderId="1" xfId="0" applyFont="1" applyFill="1" applyBorder="1" applyAlignment="1">
      <alignment vertical="top" wrapText="1"/>
    </xf>
    <xf numFmtId="0" fontId="5" fillId="0" borderId="1" xfId="0" applyFont="1" applyBorder="1" applyAlignment="1">
      <alignment vertical="top" wrapText="1"/>
    </xf>
    <xf numFmtId="0" fontId="8" fillId="5" borderId="1" xfId="0" applyFont="1" applyFill="1" applyBorder="1" applyAlignment="1">
      <alignment vertical="top" wrapText="1"/>
    </xf>
    <xf numFmtId="0" fontId="8" fillId="0" borderId="1" xfId="0" applyFont="1" applyBorder="1" applyAlignment="1">
      <alignment vertical="top" wrapText="1"/>
    </xf>
    <xf numFmtId="0" fontId="6" fillId="5" borderId="1" xfId="0" applyFont="1" applyFill="1" applyBorder="1" applyAlignment="1">
      <alignment vertical="top" wrapText="1"/>
    </xf>
    <xf numFmtId="0" fontId="6" fillId="0" borderId="1" xfId="0" applyFont="1" applyBorder="1" applyAlignment="1">
      <alignment vertical="top" wrapText="1"/>
    </xf>
    <xf numFmtId="0" fontId="3" fillId="4" borderId="1" xfId="0" applyFont="1" applyFill="1" applyBorder="1" applyAlignment="1">
      <alignment vertical="center" wrapText="1"/>
    </xf>
    <xf numFmtId="0" fontId="1" fillId="2" borderId="0" xfId="0" applyFont="1" applyFill="1" applyAlignment="1">
      <alignment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0</xdr:colOff>
      <xdr:row>3</xdr:row>
      <xdr:rowOff>0</xdr:rowOff>
    </xdr:from>
    <xdr:ext cx="8572500" cy="47625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showGridLines="0" workbookViewId="0">
      <pane ySplit="3" topLeftCell="A4" activePane="bottomLeft" state="frozen"/>
      <selection pane="bottomLeft" activeCell="B4" sqref="B4"/>
    </sheetView>
  </sheetViews>
  <sheetFormatPr defaultRowHeight="15"/>
  <cols>
    <col min="1" max="1" width="16.5703125" customWidth="1"/>
    <col min="2" max="2" width="32" customWidth="1"/>
    <col min="3" max="4" width="10" customWidth="1"/>
    <col min="5" max="6" width="12" customWidth="1"/>
  </cols>
  <sheetData>
    <row r="1" spans="1:6" ht="26.1" customHeight="1">
      <c r="A1" s="16" t="s">
        <v>0</v>
      </c>
      <c r="B1" s="17"/>
      <c r="C1" s="17"/>
      <c r="D1" s="17"/>
      <c r="E1" s="17"/>
      <c r="F1" s="17"/>
    </row>
    <row r="2" spans="1:6">
      <c r="A2" s="1" t="s">
        <v>1</v>
      </c>
    </row>
    <row r="3" spans="1:6">
      <c r="A3" s="2" t="s">
        <v>2</v>
      </c>
      <c r="B3" s="2" t="s">
        <v>3</v>
      </c>
      <c r="C3" s="3"/>
      <c r="D3" s="3"/>
      <c r="E3" s="3"/>
      <c r="F3" s="3"/>
    </row>
    <row r="4" spans="1:6" ht="45" customHeight="1">
      <c r="A4" s="4" t="s">
        <v>4</v>
      </c>
      <c r="B4" s="4" t="s">
        <v>5</v>
      </c>
      <c r="C4" s="5"/>
      <c r="D4" s="5"/>
      <c r="E4" s="5"/>
      <c r="F4" s="5"/>
    </row>
    <row r="5" spans="1:6" ht="45" customHeight="1">
      <c r="A5" s="6" t="s">
        <v>6</v>
      </c>
      <c r="B5" s="6" t="s">
        <v>7</v>
      </c>
      <c r="C5" s="3"/>
      <c r="D5" s="3"/>
      <c r="E5" s="3"/>
      <c r="F5" s="3"/>
    </row>
    <row r="6" spans="1:6" ht="45" customHeight="1">
      <c r="A6" s="4" t="s">
        <v>8</v>
      </c>
      <c r="B6" s="4" t="s">
        <v>9</v>
      </c>
      <c r="C6" s="5"/>
      <c r="D6" s="5"/>
      <c r="E6" s="5"/>
      <c r="F6" s="5"/>
    </row>
    <row r="7" spans="1:6" ht="45" customHeight="1">
      <c r="A7" s="6" t="s">
        <v>10</v>
      </c>
      <c r="B7" s="6" t="s">
        <v>11</v>
      </c>
      <c r="C7" s="3"/>
      <c r="D7" s="3"/>
      <c r="E7" s="3"/>
      <c r="F7" s="3"/>
    </row>
    <row r="8" spans="1:6" ht="45" customHeight="1">
      <c r="A8" s="4" t="s">
        <v>12</v>
      </c>
      <c r="B8" s="4" t="s">
        <v>13</v>
      </c>
      <c r="C8" s="5"/>
      <c r="D8" s="5"/>
      <c r="E8" s="5"/>
      <c r="F8" s="5"/>
    </row>
    <row r="9" spans="1:6" ht="45" customHeight="1">
      <c r="A9" s="6" t="s">
        <v>14</v>
      </c>
      <c r="B9" s="6" t="s">
        <v>15</v>
      </c>
      <c r="C9" s="3"/>
      <c r="D9" s="3"/>
      <c r="E9" s="3"/>
      <c r="F9" s="3"/>
    </row>
    <row r="10" spans="1:6" ht="45" customHeight="1">
      <c r="A10" s="4" t="s">
        <v>16</v>
      </c>
      <c r="B10" s="4" t="s">
        <v>17</v>
      </c>
      <c r="C10" s="5"/>
      <c r="D10" s="5"/>
      <c r="E10" s="5"/>
      <c r="F10" s="5"/>
    </row>
    <row r="11" spans="1:6" ht="45" customHeight="1">
      <c r="A11" s="6" t="s">
        <v>18</v>
      </c>
      <c r="B11" s="6" t="s">
        <v>19</v>
      </c>
      <c r="C11" s="3"/>
      <c r="D11" s="3"/>
      <c r="E11" s="3"/>
      <c r="F11" s="3"/>
    </row>
    <row r="12" spans="1:6" ht="45" customHeight="1">
      <c r="A12" s="4" t="s">
        <v>20</v>
      </c>
      <c r="B12" s="4" t="s">
        <v>21</v>
      </c>
      <c r="C12" s="5"/>
      <c r="D12" s="5"/>
      <c r="E12" s="5"/>
      <c r="F12" s="5"/>
    </row>
    <row r="13" spans="1:6" ht="45" customHeight="1">
      <c r="A13" s="6" t="s">
        <v>22</v>
      </c>
      <c r="B13" s="6" t="s">
        <v>23</v>
      </c>
      <c r="C13" s="3"/>
      <c r="D13" s="3"/>
      <c r="E13" s="3"/>
      <c r="F13" s="3"/>
    </row>
    <row r="14" spans="1:6">
      <c r="A14" s="5"/>
      <c r="B14" s="5"/>
      <c r="C14" s="5"/>
      <c r="D14" s="5"/>
      <c r="E14" s="5"/>
      <c r="F14" s="5"/>
    </row>
    <row r="15" spans="1:6">
      <c r="A15" s="7" t="s">
        <v>24</v>
      </c>
      <c r="B15" s="3"/>
      <c r="C15" s="3"/>
      <c r="D15" s="3"/>
      <c r="E15" s="3"/>
      <c r="F15" s="3"/>
    </row>
    <row r="16" spans="1:6">
      <c r="A16" s="8" t="s">
        <v>25</v>
      </c>
      <c r="B16" s="8" t="s">
        <v>26</v>
      </c>
      <c r="C16" s="8" t="s">
        <v>27</v>
      </c>
      <c r="D16" s="8" t="s">
        <v>28</v>
      </c>
      <c r="E16" s="5"/>
      <c r="F16" s="5"/>
    </row>
    <row r="17" spans="1:6">
      <c r="A17" s="3">
        <v>1</v>
      </c>
      <c r="B17" s="3" t="s">
        <v>29</v>
      </c>
      <c r="C17" s="3">
        <v>10</v>
      </c>
      <c r="D17" s="3">
        <v>2</v>
      </c>
      <c r="E17" s="3"/>
      <c r="F17" s="3"/>
    </row>
    <row r="18" spans="1:6">
      <c r="A18" s="5">
        <v>2</v>
      </c>
      <c r="B18" s="5" t="s">
        <v>30</v>
      </c>
      <c r="C18" s="5">
        <v>13</v>
      </c>
      <c r="D18" s="5">
        <v>7</v>
      </c>
      <c r="E18" s="5"/>
      <c r="F18" s="5"/>
    </row>
    <row r="19" spans="1:6">
      <c r="A19" s="3">
        <v>3</v>
      </c>
      <c r="B19" s="3" t="s">
        <v>31</v>
      </c>
      <c r="C19" s="3">
        <v>260</v>
      </c>
      <c r="D19" s="3">
        <v>5</v>
      </c>
      <c r="E19" s="3"/>
      <c r="F19" s="3"/>
    </row>
    <row r="20" spans="1:6">
      <c r="A20" s="5">
        <v>4</v>
      </c>
      <c r="B20" s="5" t="s">
        <v>32</v>
      </c>
      <c r="C20" s="5">
        <v>13</v>
      </c>
      <c r="D20" s="5">
        <v>6</v>
      </c>
      <c r="E20" s="5"/>
      <c r="F20" s="5"/>
    </row>
    <row r="21" spans="1:6">
      <c r="A21" s="3">
        <v>5</v>
      </c>
      <c r="B21" s="3" t="s">
        <v>33</v>
      </c>
      <c r="C21" s="3">
        <v>9</v>
      </c>
      <c r="D21" s="3">
        <v>12</v>
      </c>
      <c r="E21" s="3"/>
      <c r="F21" s="3"/>
    </row>
    <row r="22" spans="1:6">
      <c r="A22" s="5">
        <v>6</v>
      </c>
      <c r="B22" s="5" t="s">
        <v>34</v>
      </c>
      <c r="C22" s="5">
        <v>12</v>
      </c>
      <c r="D22" s="5">
        <v>10</v>
      </c>
      <c r="E22" s="5"/>
      <c r="F22" s="5"/>
    </row>
    <row r="23" spans="1:6">
      <c r="A23" s="3">
        <v>7</v>
      </c>
      <c r="B23" s="3" t="s">
        <v>35</v>
      </c>
      <c r="C23" s="3">
        <v>28</v>
      </c>
      <c r="D23" s="3">
        <v>12</v>
      </c>
      <c r="E23" s="3"/>
      <c r="F23" s="3"/>
    </row>
    <row r="24" spans="1:6">
      <c r="A24" s="5">
        <v>8</v>
      </c>
      <c r="B24" s="5" t="s">
        <v>36</v>
      </c>
      <c r="C24" s="5">
        <v>6</v>
      </c>
      <c r="D24" s="5">
        <v>5</v>
      </c>
      <c r="E24" s="5"/>
      <c r="F24" s="5"/>
    </row>
    <row r="25" spans="1:6">
      <c r="A25" s="3">
        <v>9</v>
      </c>
      <c r="B25" s="3" t="s">
        <v>37</v>
      </c>
      <c r="C25" s="3">
        <v>90</v>
      </c>
      <c r="D25" s="3">
        <v>15</v>
      </c>
      <c r="E25" s="3"/>
      <c r="F25" s="3"/>
    </row>
    <row r="26" spans="1:6">
      <c r="A26" s="5">
        <v>10</v>
      </c>
      <c r="B26" s="5" t="s">
        <v>38</v>
      </c>
      <c r="C26" s="5">
        <v>31</v>
      </c>
      <c r="D26" s="5">
        <v>10</v>
      </c>
      <c r="E26" s="5"/>
      <c r="F26" s="5"/>
    </row>
    <row r="27" spans="1:6">
      <c r="A27" s="3">
        <v>11</v>
      </c>
      <c r="B27" s="3" t="s">
        <v>39</v>
      </c>
      <c r="C27" s="3">
        <v>43</v>
      </c>
      <c r="D27" s="3">
        <v>10</v>
      </c>
      <c r="E27" s="3"/>
      <c r="F27" s="3"/>
    </row>
    <row r="28" spans="1:6">
      <c r="A28" s="5">
        <v>12</v>
      </c>
      <c r="B28" s="5" t="s">
        <v>40</v>
      </c>
      <c r="C28" s="5">
        <v>9</v>
      </c>
      <c r="D28" s="5">
        <v>14</v>
      </c>
      <c r="E28" s="5"/>
      <c r="F28" s="5"/>
    </row>
    <row r="29" spans="1:6">
      <c r="A29" s="3">
        <v>13</v>
      </c>
      <c r="B29" s="3" t="s">
        <v>41</v>
      </c>
      <c r="C29" s="3">
        <v>115</v>
      </c>
      <c r="D29" s="3">
        <v>27</v>
      </c>
      <c r="E29" s="3"/>
      <c r="F29" s="3"/>
    </row>
    <row r="30" spans="1:6">
      <c r="A30" s="5">
        <v>14</v>
      </c>
      <c r="B30" s="5" t="s">
        <v>42</v>
      </c>
      <c r="C30" s="5">
        <v>115</v>
      </c>
      <c r="D30" s="5">
        <v>13</v>
      </c>
      <c r="E30" s="5"/>
      <c r="F30" s="5"/>
    </row>
    <row r="31" spans="1:6">
      <c r="A31" s="3">
        <v>15</v>
      </c>
      <c r="B31" s="3" t="s">
        <v>43</v>
      </c>
      <c r="C31" s="3">
        <v>9</v>
      </c>
      <c r="D31" s="3">
        <v>14</v>
      </c>
      <c r="E31" s="3"/>
      <c r="F31" s="3"/>
    </row>
    <row r="32" spans="1:6">
      <c r="A32" s="5">
        <v>16</v>
      </c>
      <c r="B32" s="5" t="s">
        <v>44</v>
      </c>
      <c r="C32" s="5">
        <v>36</v>
      </c>
      <c r="D32" s="5">
        <v>14</v>
      </c>
      <c r="E32" s="5"/>
      <c r="F32" s="5"/>
    </row>
    <row r="33" spans="1:6">
      <c r="A33" s="3">
        <v>17</v>
      </c>
      <c r="B33" s="3" t="s">
        <v>45</v>
      </c>
      <c r="C33" s="3">
        <v>36</v>
      </c>
      <c r="D33" s="3">
        <v>10</v>
      </c>
      <c r="E33" s="3"/>
      <c r="F33" s="3"/>
    </row>
    <row r="34" spans="1:6">
      <c r="A34" s="5">
        <v>18</v>
      </c>
      <c r="B34" s="5" t="s">
        <v>46</v>
      </c>
      <c r="C34" s="5">
        <v>36</v>
      </c>
      <c r="D34" s="5">
        <v>14</v>
      </c>
      <c r="E34" s="5"/>
      <c r="F34" s="5"/>
    </row>
    <row r="35" spans="1:6">
      <c r="A35" s="3">
        <v>19</v>
      </c>
      <c r="B35" s="3" t="s">
        <v>47</v>
      </c>
      <c r="C35" s="3">
        <v>360</v>
      </c>
      <c r="D35" s="3">
        <v>14</v>
      </c>
      <c r="E35" s="3"/>
      <c r="F35" s="3"/>
    </row>
    <row r="36" spans="1:6">
      <c r="A36" s="5">
        <v>20</v>
      </c>
      <c r="B36" s="5" t="s">
        <v>48</v>
      </c>
      <c r="C36" s="5">
        <v>360</v>
      </c>
      <c r="D36" s="5">
        <v>15</v>
      </c>
      <c r="E36" s="5"/>
      <c r="F36" s="5"/>
    </row>
    <row r="37" spans="1:6">
      <c r="A37" s="3">
        <v>21</v>
      </c>
      <c r="B37" s="3" t="s">
        <v>49</v>
      </c>
      <c r="C37" s="3">
        <v>260</v>
      </c>
      <c r="D37" s="3">
        <v>11</v>
      </c>
      <c r="E37" s="3"/>
      <c r="F37" s="3"/>
    </row>
    <row r="38" spans="1:6">
      <c r="A38" s="5">
        <v>22</v>
      </c>
      <c r="B38" s="5" t="s">
        <v>50</v>
      </c>
      <c r="C38" s="5">
        <v>5</v>
      </c>
      <c r="D38" s="5">
        <v>9</v>
      </c>
      <c r="E38" s="5"/>
      <c r="F38" s="5"/>
    </row>
    <row r="39" spans="1:6">
      <c r="A39" s="3">
        <v>23</v>
      </c>
      <c r="B39" s="3" t="s">
        <v>51</v>
      </c>
      <c r="C39" s="3">
        <v>10</v>
      </c>
      <c r="D39" s="3">
        <v>5</v>
      </c>
      <c r="E39" s="3"/>
      <c r="F39" s="3"/>
    </row>
    <row r="40" spans="1:6">
      <c r="A40" s="5">
        <v>24</v>
      </c>
      <c r="B40" s="5" t="s">
        <v>52</v>
      </c>
      <c r="C40" s="5">
        <v>8</v>
      </c>
      <c r="D40" s="5">
        <v>3</v>
      </c>
      <c r="E40" s="5"/>
      <c r="F40" s="5"/>
    </row>
    <row r="41" spans="1:6">
      <c r="A41" s="3">
        <v>25</v>
      </c>
      <c r="B41" s="3" t="s">
        <v>53</v>
      </c>
      <c r="C41" s="3">
        <v>5</v>
      </c>
      <c r="D41" s="3">
        <v>4</v>
      </c>
      <c r="E41" s="3"/>
      <c r="F41" s="3"/>
    </row>
    <row r="42" spans="1:6">
      <c r="A42" s="5">
        <v>26</v>
      </c>
      <c r="B42" s="5" t="s">
        <v>54</v>
      </c>
      <c r="C42" s="5">
        <v>8</v>
      </c>
      <c r="D42" s="5">
        <v>4</v>
      </c>
      <c r="E42" s="5"/>
      <c r="F42" s="5"/>
    </row>
  </sheetData>
  <autoFilter ref="A3:F13" xr:uid="{00000000-0009-0000-0000-000000000000}"/>
  <mergeCells count="1">
    <mergeCell ref="A1:F1"/>
  </mergeCells>
  <pageMargins left="0.75" right="0.75" top="1" bottom="1" header="0.5" footer="0.5"/>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pane ySplit="3" topLeftCell="A4" activePane="bottomLeft" state="frozen"/>
      <selection pane="bottomLeft"/>
    </sheetView>
  </sheetViews>
  <sheetFormatPr defaultRowHeight="15"/>
  <cols>
    <col min="1" max="1" width="17" customWidth="1"/>
    <col min="2" max="2" width="38" customWidth="1"/>
    <col min="3" max="6" width="45" customWidth="1"/>
    <col min="7" max="7" width="35" customWidth="1"/>
  </cols>
  <sheetData>
    <row r="1" spans="1:7" ht="26.1" customHeight="1">
      <c r="A1" s="16" t="s">
        <v>55</v>
      </c>
      <c r="B1" s="17"/>
      <c r="C1" s="17"/>
      <c r="D1" s="17"/>
      <c r="E1" s="17"/>
      <c r="F1" s="17"/>
      <c r="G1" s="17"/>
    </row>
    <row r="3" spans="1:7">
      <c r="A3" s="2" t="s">
        <v>56</v>
      </c>
      <c r="B3" s="2" t="s">
        <v>57</v>
      </c>
      <c r="C3" s="2" t="s">
        <v>58</v>
      </c>
      <c r="D3" s="2" t="s">
        <v>59</v>
      </c>
      <c r="E3" s="2" t="s">
        <v>60</v>
      </c>
      <c r="F3" s="2" t="s">
        <v>61</v>
      </c>
      <c r="G3" s="2" t="s">
        <v>62</v>
      </c>
    </row>
    <row r="4" spans="1:7" ht="45" customHeight="1">
      <c r="A4" s="4" t="s">
        <v>63</v>
      </c>
      <c r="B4" s="4" t="s">
        <v>64</v>
      </c>
      <c r="C4" s="4" t="s">
        <v>65</v>
      </c>
      <c r="D4" s="4" t="s">
        <v>66</v>
      </c>
      <c r="E4" s="4" t="s">
        <v>67</v>
      </c>
      <c r="F4" s="4" t="s">
        <v>68</v>
      </c>
      <c r="G4" s="4" t="s">
        <v>69</v>
      </c>
    </row>
    <row r="5" spans="1:7" ht="45" customHeight="1">
      <c r="A5" s="6" t="s">
        <v>70</v>
      </c>
      <c r="B5" s="6" t="s">
        <v>71</v>
      </c>
      <c r="C5" s="6" t="s">
        <v>72</v>
      </c>
      <c r="D5" s="6" t="s">
        <v>73</v>
      </c>
      <c r="E5" s="6" t="s">
        <v>74</v>
      </c>
      <c r="F5" s="6" t="s">
        <v>75</v>
      </c>
      <c r="G5" s="6" t="s">
        <v>69</v>
      </c>
    </row>
    <row r="6" spans="1:7" ht="45" customHeight="1">
      <c r="A6" s="4" t="s">
        <v>76</v>
      </c>
      <c r="B6" s="4" t="s">
        <v>77</v>
      </c>
      <c r="C6" s="4" t="s">
        <v>78</v>
      </c>
      <c r="D6" s="4" t="s">
        <v>66</v>
      </c>
      <c r="E6" s="4" t="s">
        <v>79</v>
      </c>
      <c r="F6" s="4" t="s">
        <v>80</v>
      </c>
      <c r="G6" s="4" t="s">
        <v>69</v>
      </c>
    </row>
    <row r="7" spans="1:7" ht="45" customHeight="1">
      <c r="A7" s="6" t="s">
        <v>81</v>
      </c>
      <c r="B7" s="6" t="s">
        <v>82</v>
      </c>
      <c r="C7" s="6" t="s">
        <v>83</v>
      </c>
      <c r="D7" s="6" t="s">
        <v>84</v>
      </c>
      <c r="E7" s="6" t="s">
        <v>74</v>
      </c>
      <c r="F7" s="6" t="s">
        <v>85</v>
      </c>
      <c r="G7" s="6" t="s">
        <v>69</v>
      </c>
    </row>
    <row r="8" spans="1:7" ht="45" customHeight="1">
      <c r="A8" s="4" t="s">
        <v>86</v>
      </c>
      <c r="B8" s="4" t="s">
        <v>87</v>
      </c>
      <c r="C8" s="4" t="s">
        <v>88</v>
      </c>
      <c r="D8" s="4" t="s">
        <v>89</v>
      </c>
      <c r="E8" s="4" t="s">
        <v>90</v>
      </c>
      <c r="F8" s="4" t="s">
        <v>91</v>
      </c>
      <c r="G8" s="4" t="s">
        <v>69</v>
      </c>
    </row>
    <row r="9" spans="1:7" ht="45" customHeight="1">
      <c r="A9" s="6" t="s">
        <v>92</v>
      </c>
      <c r="B9" s="6" t="s">
        <v>93</v>
      </c>
      <c r="C9" s="6" t="s">
        <v>94</v>
      </c>
      <c r="D9" s="6" t="s">
        <v>95</v>
      </c>
      <c r="E9" s="6" t="s">
        <v>96</v>
      </c>
      <c r="F9" s="6" t="s">
        <v>97</v>
      </c>
      <c r="G9" s="6" t="s">
        <v>69</v>
      </c>
    </row>
    <row r="10" spans="1:7" ht="45" customHeight="1">
      <c r="A10" s="4" t="s">
        <v>98</v>
      </c>
      <c r="B10" s="4" t="s">
        <v>99</v>
      </c>
      <c r="C10" s="4" t="s">
        <v>100</v>
      </c>
      <c r="D10" s="4" t="s">
        <v>84</v>
      </c>
      <c r="E10" s="4" t="s">
        <v>74</v>
      </c>
      <c r="F10" s="4" t="s">
        <v>101</v>
      </c>
      <c r="G10" s="4" t="s">
        <v>69</v>
      </c>
    </row>
    <row r="11" spans="1:7" ht="45" customHeight="1">
      <c r="A11" s="6" t="s">
        <v>102</v>
      </c>
      <c r="B11" s="6" t="s">
        <v>103</v>
      </c>
      <c r="C11" s="6" t="s">
        <v>104</v>
      </c>
      <c r="D11" s="6" t="s">
        <v>105</v>
      </c>
      <c r="E11" s="6" t="s">
        <v>106</v>
      </c>
      <c r="F11" s="6" t="s">
        <v>107</v>
      </c>
      <c r="G11" s="6" t="s">
        <v>69</v>
      </c>
    </row>
    <row r="12" spans="1:7" ht="45" customHeight="1">
      <c r="A12" s="4" t="s">
        <v>108</v>
      </c>
      <c r="B12" s="4" t="s">
        <v>109</v>
      </c>
      <c r="C12" s="4" t="s">
        <v>110</v>
      </c>
      <c r="D12" s="4" t="s">
        <v>111</v>
      </c>
      <c r="E12" s="4" t="s">
        <v>112</v>
      </c>
      <c r="F12" s="4" t="s">
        <v>113</v>
      </c>
      <c r="G12" s="4" t="s">
        <v>69</v>
      </c>
    </row>
    <row r="13" spans="1:7" ht="45" customHeight="1">
      <c r="A13" s="6" t="s">
        <v>114</v>
      </c>
      <c r="B13" s="6" t="s">
        <v>115</v>
      </c>
      <c r="C13" s="6" t="s">
        <v>116</v>
      </c>
      <c r="D13" s="6" t="s">
        <v>111</v>
      </c>
      <c r="E13" s="6" t="s">
        <v>112</v>
      </c>
      <c r="F13" s="6" t="s">
        <v>117</v>
      </c>
      <c r="G13" s="6" t="s">
        <v>69</v>
      </c>
    </row>
    <row r="14" spans="1:7" ht="45" customHeight="1">
      <c r="A14" s="4" t="s">
        <v>118</v>
      </c>
      <c r="B14" s="4" t="s">
        <v>119</v>
      </c>
      <c r="C14" s="4" t="s">
        <v>120</v>
      </c>
      <c r="D14" s="4" t="s">
        <v>121</v>
      </c>
      <c r="E14" s="4" t="s">
        <v>122</v>
      </c>
      <c r="F14" s="4" t="s">
        <v>123</v>
      </c>
      <c r="G14" s="4" t="s">
        <v>69</v>
      </c>
    </row>
    <row r="15" spans="1:7" ht="45" customHeight="1">
      <c r="A15" s="6" t="s">
        <v>124</v>
      </c>
      <c r="B15" s="6" t="s">
        <v>125</v>
      </c>
      <c r="C15" s="6" t="s">
        <v>126</v>
      </c>
      <c r="D15" s="6" t="s">
        <v>127</v>
      </c>
      <c r="E15" s="6" t="s">
        <v>128</v>
      </c>
      <c r="F15" s="6" t="s">
        <v>129</v>
      </c>
      <c r="G15" s="6" t="s">
        <v>69</v>
      </c>
    </row>
    <row r="16" spans="1:7" ht="45" customHeight="1">
      <c r="A16" s="4" t="s">
        <v>130</v>
      </c>
      <c r="B16" s="4" t="s">
        <v>131</v>
      </c>
      <c r="C16" s="4" t="s">
        <v>132</v>
      </c>
      <c r="D16" s="4" t="s">
        <v>133</v>
      </c>
      <c r="E16" s="4" t="s">
        <v>134</v>
      </c>
      <c r="F16" s="4" t="s">
        <v>135</v>
      </c>
      <c r="G16" s="4" t="s">
        <v>69</v>
      </c>
    </row>
  </sheetData>
  <autoFilter ref="A3:G16" xr:uid="{00000000-0009-0000-0000-000001000000}"/>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3"/>
  <sheetViews>
    <sheetView showGridLines="0" workbookViewId="0">
      <pane ySplit="3" topLeftCell="A4" activePane="bottomLeft" state="frozen"/>
      <selection pane="bottomLeft"/>
    </sheetView>
  </sheetViews>
  <sheetFormatPr defaultRowHeight="15"/>
  <cols>
    <col min="1" max="1" width="21" customWidth="1"/>
    <col min="2" max="2" width="35" customWidth="1"/>
    <col min="3" max="4" width="45" customWidth="1"/>
    <col min="5" max="6" width="12" customWidth="1"/>
  </cols>
  <sheetData>
    <row r="1" spans="1:6" ht="26.1" customHeight="1">
      <c r="A1" s="16" t="s">
        <v>136</v>
      </c>
      <c r="B1" s="17"/>
      <c r="C1" s="17"/>
      <c r="D1" s="17"/>
      <c r="E1" s="17"/>
      <c r="F1" s="17"/>
    </row>
    <row r="3" spans="1:6">
      <c r="A3" s="2" t="s">
        <v>137</v>
      </c>
      <c r="B3" s="2" t="s">
        <v>138</v>
      </c>
      <c r="C3" s="2" t="s">
        <v>139</v>
      </c>
      <c r="D3" s="2" t="s">
        <v>140</v>
      </c>
      <c r="E3" s="2" t="s">
        <v>60</v>
      </c>
      <c r="F3" s="3"/>
    </row>
    <row r="4" spans="1:6" ht="45" customHeight="1">
      <c r="A4" s="4" t="s">
        <v>29</v>
      </c>
      <c r="B4" s="4" t="s">
        <v>2</v>
      </c>
      <c r="C4" s="4" t="s">
        <v>141</v>
      </c>
      <c r="D4" s="4" t="s">
        <v>142</v>
      </c>
      <c r="E4" s="4"/>
      <c r="F4" s="5"/>
    </row>
    <row r="5" spans="1:6" ht="45" customHeight="1">
      <c r="A5" s="6" t="s">
        <v>29</v>
      </c>
      <c r="B5" s="6" t="s">
        <v>3</v>
      </c>
      <c r="C5" s="6" t="s">
        <v>143</v>
      </c>
      <c r="D5" s="6" t="s">
        <v>142</v>
      </c>
      <c r="E5" s="6"/>
      <c r="F5" s="3"/>
    </row>
    <row r="6" spans="1:6" ht="45" customHeight="1">
      <c r="A6" s="4" t="s">
        <v>30</v>
      </c>
      <c r="B6" s="4" t="s">
        <v>56</v>
      </c>
      <c r="C6" s="4" t="s">
        <v>144</v>
      </c>
      <c r="D6" s="4" t="s">
        <v>142</v>
      </c>
      <c r="E6" s="4"/>
      <c r="F6" s="5"/>
    </row>
    <row r="7" spans="1:6" ht="45" customHeight="1">
      <c r="A7" s="6" t="s">
        <v>30</v>
      </c>
      <c r="B7" s="6" t="s">
        <v>57</v>
      </c>
      <c r="C7" s="6" t="s">
        <v>145</v>
      </c>
      <c r="D7" s="6" t="s">
        <v>142</v>
      </c>
      <c r="E7" s="6"/>
      <c r="F7" s="3"/>
    </row>
    <row r="8" spans="1:6" ht="45" customHeight="1">
      <c r="A8" s="4" t="s">
        <v>30</v>
      </c>
      <c r="B8" s="4" t="s">
        <v>58</v>
      </c>
      <c r="C8" s="4" t="s">
        <v>146</v>
      </c>
      <c r="D8" s="4" t="s">
        <v>142</v>
      </c>
      <c r="E8" s="4"/>
      <c r="F8" s="5"/>
    </row>
    <row r="9" spans="1:6" ht="45" customHeight="1">
      <c r="A9" s="6" t="s">
        <v>30</v>
      </c>
      <c r="B9" s="6" t="s">
        <v>59</v>
      </c>
      <c r="C9" s="6" t="s">
        <v>147</v>
      </c>
      <c r="D9" s="6" t="s">
        <v>142</v>
      </c>
      <c r="E9" s="6"/>
      <c r="F9" s="3"/>
    </row>
    <row r="10" spans="1:6" ht="45" customHeight="1">
      <c r="A10" s="4" t="s">
        <v>30</v>
      </c>
      <c r="B10" s="4" t="s">
        <v>60</v>
      </c>
      <c r="C10" s="4" t="s">
        <v>148</v>
      </c>
      <c r="D10" s="4" t="s">
        <v>142</v>
      </c>
      <c r="E10" s="4"/>
      <c r="F10" s="5"/>
    </row>
    <row r="11" spans="1:6" ht="45" customHeight="1">
      <c r="A11" s="6" t="s">
        <v>30</v>
      </c>
      <c r="B11" s="6" t="s">
        <v>61</v>
      </c>
      <c r="C11" s="6" t="s">
        <v>149</v>
      </c>
      <c r="D11" s="6" t="s">
        <v>142</v>
      </c>
      <c r="E11" s="6"/>
      <c r="F11" s="3"/>
    </row>
    <row r="12" spans="1:6" ht="45" customHeight="1">
      <c r="A12" s="4" t="s">
        <v>30</v>
      </c>
      <c r="B12" s="4" t="s">
        <v>62</v>
      </c>
      <c r="C12" s="4" t="s">
        <v>150</v>
      </c>
      <c r="D12" s="4" t="s">
        <v>142</v>
      </c>
      <c r="E12" s="4"/>
      <c r="F12" s="5"/>
    </row>
    <row r="13" spans="1:6" ht="45" customHeight="1">
      <c r="A13" s="6" t="s">
        <v>33</v>
      </c>
      <c r="B13" s="6" t="s">
        <v>151</v>
      </c>
      <c r="C13" s="6" t="s">
        <v>152</v>
      </c>
      <c r="D13" s="6" t="s">
        <v>153</v>
      </c>
      <c r="E13" s="6"/>
      <c r="F13" s="3"/>
    </row>
    <row r="14" spans="1:6" ht="45" customHeight="1">
      <c r="A14" s="4" t="s">
        <v>33</v>
      </c>
      <c r="B14" s="4" t="s">
        <v>62</v>
      </c>
      <c r="C14" s="4" t="s">
        <v>150</v>
      </c>
      <c r="D14" s="4" t="s">
        <v>153</v>
      </c>
      <c r="E14" s="4"/>
      <c r="F14" s="5"/>
    </row>
    <row r="15" spans="1:6" ht="45" customHeight="1">
      <c r="A15" s="6" t="s">
        <v>33</v>
      </c>
      <c r="B15" s="6" t="s">
        <v>154</v>
      </c>
      <c r="C15" s="6" t="s">
        <v>155</v>
      </c>
      <c r="D15" s="6" t="s">
        <v>153</v>
      </c>
      <c r="E15" s="6"/>
      <c r="F15" s="3"/>
    </row>
    <row r="16" spans="1:6" ht="45" customHeight="1">
      <c r="A16" s="4" t="s">
        <v>33</v>
      </c>
      <c r="B16" s="4" t="s">
        <v>156</v>
      </c>
      <c r="C16" s="4" t="s">
        <v>157</v>
      </c>
      <c r="D16" s="4" t="s">
        <v>153</v>
      </c>
      <c r="E16" s="4"/>
      <c r="F16" s="5"/>
    </row>
    <row r="17" spans="1:6" ht="45" customHeight="1">
      <c r="A17" s="6" t="s">
        <v>33</v>
      </c>
      <c r="B17" s="6" t="s">
        <v>158</v>
      </c>
      <c r="C17" s="6" t="s">
        <v>159</v>
      </c>
      <c r="D17" s="6" t="s">
        <v>153</v>
      </c>
      <c r="E17" s="6"/>
      <c r="F17" s="3"/>
    </row>
    <row r="18" spans="1:6" ht="45" customHeight="1">
      <c r="A18" s="4" t="s">
        <v>33</v>
      </c>
      <c r="B18" s="4" t="s">
        <v>160</v>
      </c>
      <c r="C18" s="4" t="s">
        <v>161</v>
      </c>
      <c r="D18" s="4" t="s">
        <v>153</v>
      </c>
      <c r="E18" s="4"/>
      <c r="F18" s="5"/>
    </row>
    <row r="19" spans="1:6" ht="45" customHeight="1">
      <c r="A19" s="6" t="s">
        <v>33</v>
      </c>
      <c r="B19" s="6" t="s">
        <v>162</v>
      </c>
      <c r="C19" s="6" t="s">
        <v>163</v>
      </c>
      <c r="D19" s="6" t="s">
        <v>153</v>
      </c>
      <c r="E19" s="6"/>
      <c r="F19" s="3"/>
    </row>
    <row r="20" spans="1:6" ht="45" customHeight="1">
      <c r="A20" s="4" t="s">
        <v>33</v>
      </c>
      <c r="B20" s="4" t="s">
        <v>164</v>
      </c>
      <c r="C20" s="4" t="s">
        <v>165</v>
      </c>
      <c r="D20" s="4" t="s">
        <v>153</v>
      </c>
      <c r="E20" s="4"/>
      <c r="F20" s="5"/>
    </row>
    <row r="21" spans="1:6" ht="45" customHeight="1">
      <c r="A21" s="6" t="s">
        <v>33</v>
      </c>
      <c r="B21" s="6" t="s">
        <v>166</v>
      </c>
      <c r="C21" s="6" t="s">
        <v>167</v>
      </c>
      <c r="D21" s="6" t="s">
        <v>153</v>
      </c>
      <c r="E21" s="6"/>
      <c r="F21" s="3"/>
    </row>
    <row r="22" spans="1:6" ht="45" customHeight="1">
      <c r="A22" s="4" t="s">
        <v>33</v>
      </c>
      <c r="B22" s="4" t="s">
        <v>168</v>
      </c>
      <c r="C22" s="4" t="s">
        <v>169</v>
      </c>
      <c r="D22" s="4" t="s">
        <v>153</v>
      </c>
      <c r="E22" s="4"/>
      <c r="F22" s="5"/>
    </row>
    <row r="23" spans="1:6" ht="45" customHeight="1">
      <c r="A23" s="6" t="s">
        <v>33</v>
      </c>
      <c r="B23" s="6" t="s">
        <v>61</v>
      </c>
      <c r="C23" s="6" t="s">
        <v>149</v>
      </c>
      <c r="D23" s="6" t="s">
        <v>153</v>
      </c>
      <c r="E23" s="6"/>
      <c r="F23" s="3"/>
    </row>
    <row r="24" spans="1:6" ht="45" customHeight="1">
      <c r="A24" s="4" t="s">
        <v>33</v>
      </c>
      <c r="B24" s="4" t="s">
        <v>170</v>
      </c>
      <c r="C24" s="4" t="s">
        <v>171</v>
      </c>
      <c r="D24" s="4" t="s">
        <v>153</v>
      </c>
      <c r="E24" s="4"/>
      <c r="F24" s="5"/>
    </row>
    <row r="25" spans="1:6" ht="45" customHeight="1">
      <c r="A25" s="6" t="s">
        <v>34</v>
      </c>
      <c r="B25" s="6" t="s">
        <v>151</v>
      </c>
      <c r="C25" s="6" t="s">
        <v>152</v>
      </c>
      <c r="D25" s="6" t="s">
        <v>153</v>
      </c>
      <c r="E25" s="6"/>
      <c r="F25" s="3"/>
    </row>
    <row r="26" spans="1:6" ht="45" customHeight="1">
      <c r="A26" s="4" t="s">
        <v>34</v>
      </c>
      <c r="B26" s="4" t="s">
        <v>158</v>
      </c>
      <c r="C26" s="4" t="s">
        <v>159</v>
      </c>
      <c r="D26" s="4" t="s">
        <v>153</v>
      </c>
      <c r="E26" s="4"/>
      <c r="F26" s="5"/>
    </row>
    <row r="27" spans="1:6" ht="45" customHeight="1">
      <c r="A27" s="6" t="s">
        <v>34</v>
      </c>
      <c r="B27" s="6" t="s">
        <v>61</v>
      </c>
      <c r="C27" s="6" t="s">
        <v>149</v>
      </c>
      <c r="D27" s="6" t="s">
        <v>153</v>
      </c>
      <c r="E27" s="6"/>
      <c r="F27" s="3"/>
    </row>
    <row r="28" spans="1:6" ht="45" customHeight="1">
      <c r="A28" s="4" t="s">
        <v>34</v>
      </c>
      <c r="B28" s="4" t="s">
        <v>172</v>
      </c>
      <c r="C28" s="4" t="s">
        <v>173</v>
      </c>
      <c r="D28" s="4" t="s">
        <v>153</v>
      </c>
      <c r="E28" s="4"/>
      <c r="F28" s="5"/>
    </row>
    <row r="29" spans="1:6" ht="45" customHeight="1">
      <c r="A29" s="6" t="s">
        <v>34</v>
      </c>
      <c r="B29" s="6" t="s">
        <v>174</v>
      </c>
      <c r="C29" s="6" t="s">
        <v>175</v>
      </c>
      <c r="D29" s="6" t="s">
        <v>153</v>
      </c>
      <c r="E29" s="6"/>
      <c r="F29" s="3"/>
    </row>
    <row r="30" spans="1:6" ht="45" customHeight="1">
      <c r="A30" s="4" t="s">
        <v>34</v>
      </c>
      <c r="B30" s="4" t="s">
        <v>176</v>
      </c>
      <c r="C30" s="4" t="s">
        <v>177</v>
      </c>
      <c r="D30" s="4" t="s">
        <v>153</v>
      </c>
      <c r="E30" s="4"/>
      <c r="F30" s="5"/>
    </row>
    <row r="31" spans="1:6" ht="45" customHeight="1">
      <c r="A31" s="6" t="s">
        <v>34</v>
      </c>
      <c r="B31" s="6" t="s">
        <v>178</v>
      </c>
      <c r="C31" s="6" t="s">
        <v>179</v>
      </c>
      <c r="D31" s="6" t="s">
        <v>153</v>
      </c>
      <c r="E31" s="6"/>
      <c r="F31" s="3"/>
    </row>
    <row r="32" spans="1:6" ht="45" customHeight="1">
      <c r="A32" s="4" t="s">
        <v>34</v>
      </c>
      <c r="B32" s="4" t="s">
        <v>180</v>
      </c>
      <c r="C32" s="4" t="s">
        <v>181</v>
      </c>
      <c r="D32" s="4" t="s">
        <v>153</v>
      </c>
      <c r="E32" s="4"/>
      <c r="F32" s="5"/>
    </row>
    <row r="33" spans="1:6" ht="45" customHeight="1">
      <c r="A33" s="6" t="s">
        <v>34</v>
      </c>
      <c r="B33" s="6" t="s">
        <v>182</v>
      </c>
      <c r="C33" s="6" t="s">
        <v>183</v>
      </c>
      <c r="D33" s="6" t="s">
        <v>153</v>
      </c>
      <c r="E33" s="6"/>
      <c r="F33" s="3"/>
    </row>
    <row r="34" spans="1:6" ht="45" customHeight="1">
      <c r="A34" s="4" t="s">
        <v>34</v>
      </c>
      <c r="B34" s="4" t="s">
        <v>62</v>
      </c>
      <c r="C34" s="4" t="s">
        <v>150</v>
      </c>
      <c r="D34" s="4" t="s">
        <v>153</v>
      </c>
      <c r="E34" s="4"/>
      <c r="F34" s="5"/>
    </row>
    <row r="35" spans="1:6" ht="45" customHeight="1">
      <c r="A35" s="6" t="s">
        <v>35</v>
      </c>
      <c r="B35" s="6" t="s">
        <v>184</v>
      </c>
      <c r="C35" s="6" t="s">
        <v>185</v>
      </c>
      <c r="D35" s="6" t="s">
        <v>153</v>
      </c>
      <c r="E35" s="6"/>
      <c r="F35" s="3"/>
    </row>
    <row r="36" spans="1:6" ht="45" customHeight="1">
      <c r="A36" s="4" t="s">
        <v>35</v>
      </c>
      <c r="B36" s="4" t="s">
        <v>62</v>
      </c>
      <c r="C36" s="4" t="s">
        <v>150</v>
      </c>
      <c r="D36" s="4" t="s">
        <v>153</v>
      </c>
      <c r="E36" s="4"/>
      <c r="F36" s="5"/>
    </row>
    <row r="37" spans="1:6" ht="45" customHeight="1">
      <c r="A37" s="6" t="s">
        <v>35</v>
      </c>
      <c r="B37" s="6" t="s">
        <v>154</v>
      </c>
      <c r="C37" s="6" t="s">
        <v>155</v>
      </c>
      <c r="D37" s="6" t="s">
        <v>153</v>
      </c>
      <c r="E37" s="6"/>
      <c r="F37" s="3"/>
    </row>
    <row r="38" spans="1:6" ht="45" customHeight="1">
      <c r="A38" s="4" t="s">
        <v>35</v>
      </c>
      <c r="B38" s="4" t="s">
        <v>186</v>
      </c>
      <c r="C38" s="4" t="s">
        <v>187</v>
      </c>
      <c r="D38" s="4" t="s">
        <v>153</v>
      </c>
      <c r="E38" s="4"/>
      <c r="F38" s="5"/>
    </row>
    <row r="39" spans="1:6" ht="45" customHeight="1">
      <c r="A39" s="6" t="s">
        <v>35</v>
      </c>
      <c r="B39" s="6" t="s">
        <v>188</v>
      </c>
      <c r="C39" s="6" t="s">
        <v>189</v>
      </c>
      <c r="D39" s="6" t="s">
        <v>153</v>
      </c>
      <c r="E39" s="6"/>
      <c r="F39" s="3"/>
    </row>
    <row r="40" spans="1:6" ht="45" customHeight="1">
      <c r="A40" s="4" t="s">
        <v>35</v>
      </c>
      <c r="B40" s="4" t="s">
        <v>190</v>
      </c>
      <c r="C40" s="4" t="s">
        <v>191</v>
      </c>
      <c r="D40" s="4" t="s">
        <v>153</v>
      </c>
      <c r="E40" s="4"/>
      <c r="F40" s="5"/>
    </row>
    <row r="41" spans="1:6" ht="45" customHeight="1">
      <c r="A41" s="6" t="s">
        <v>35</v>
      </c>
      <c r="B41" s="6" t="s">
        <v>192</v>
      </c>
      <c r="C41" s="6" t="s">
        <v>193</v>
      </c>
      <c r="D41" s="6" t="s">
        <v>153</v>
      </c>
      <c r="E41" s="6"/>
      <c r="F41" s="3"/>
    </row>
    <row r="42" spans="1:6" ht="45" customHeight="1">
      <c r="A42" s="4" t="s">
        <v>35</v>
      </c>
      <c r="B42" s="4" t="s">
        <v>194</v>
      </c>
      <c r="C42" s="4" t="s">
        <v>195</v>
      </c>
      <c r="D42" s="4" t="s">
        <v>153</v>
      </c>
      <c r="E42" s="4"/>
      <c r="F42" s="5"/>
    </row>
    <row r="43" spans="1:6" ht="45" customHeight="1">
      <c r="A43" s="6" t="s">
        <v>35</v>
      </c>
      <c r="B43" s="6" t="s">
        <v>196</v>
      </c>
      <c r="C43" s="6" t="s">
        <v>197</v>
      </c>
      <c r="D43" s="6" t="s">
        <v>153</v>
      </c>
      <c r="E43" s="6"/>
      <c r="F43" s="3"/>
    </row>
    <row r="44" spans="1:6" ht="45" customHeight="1">
      <c r="A44" s="4" t="s">
        <v>35</v>
      </c>
      <c r="B44" s="4" t="s">
        <v>198</v>
      </c>
      <c r="C44" s="4" t="s">
        <v>199</v>
      </c>
      <c r="D44" s="4" t="s">
        <v>153</v>
      </c>
      <c r="E44" s="4"/>
      <c r="F44" s="5"/>
    </row>
    <row r="45" spans="1:6" ht="45" customHeight="1">
      <c r="A45" s="6" t="s">
        <v>35</v>
      </c>
      <c r="B45" s="6" t="s">
        <v>61</v>
      </c>
      <c r="C45" s="6" t="s">
        <v>149</v>
      </c>
      <c r="D45" s="6" t="s">
        <v>153</v>
      </c>
      <c r="E45" s="6"/>
      <c r="F45" s="3"/>
    </row>
    <row r="46" spans="1:6" ht="45" customHeight="1">
      <c r="A46" s="4" t="s">
        <v>35</v>
      </c>
      <c r="B46" s="4" t="s">
        <v>170</v>
      </c>
      <c r="C46" s="4" t="s">
        <v>171</v>
      </c>
      <c r="D46" s="4" t="s">
        <v>153</v>
      </c>
      <c r="E46" s="4"/>
      <c r="F46" s="5"/>
    </row>
    <row r="47" spans="1:6" ht="45" customHeight="1">
      <c r="A47" s="6" t="s">
        <v>36</v>
      </c>
      <c r="B47" s="6" t="s">
        <v>200</v>
      </c>
      <c r="C47" s="6" t="s">
        <v>201</v>
      </c>
      <c r="D47" s="6" t="s">
        <v>153</v>
      </c>
      <c r="E47" s="6"/>
      <c r="F47" s="3"/>
    </row>
    <row r="48" spans="1:6" ht="45" customHeight="1">
      <c r="A48" s="4" t="s">
        <v>36</v>
      </c>
      <c r="B48" s="4" t="s">
        <v>202</v>
      </c>
      <c r="C48" s="4" t="s">
        <v>203</v>
      </c>
      <c r="D48" s="4" t="s">
        <v>153</v>
      </c>
      <c r="E48" s="4"/>
      <c r="F48" s="5"/>
    </row>
    <row r="49" spans="1:6" ht="45" customHeight="1">
      <c r="A49" s="6" t="s">
        <v>36</v>
      </c>
      <c r="B49" s="6" t="s">
        <v>204</v>
      </c>
      <c r="C49" s="6" t="s">
        <v>205</v>
      </c>
      <c r="D49" s="6" t="s">
        <v>153</v>
      </c>
      <c r="E49" s="6"/>
      <c r="F49" s="3"/>
    </row>
    <row r="50" spans="1:6" ht="45" customHeight="1">
      <c r="A50" s="4" t="s">
        <v>36</v>
      </c>
      <c r="B50" s="4" t="s">
        <v>206</v>
      </c>
      <c r="C50" s="4" t="s">
        <v>207</v>
      </c>
      <c r="D50" s="4" t="s">
        <v>153</v>
      </c>
      <c r="E50" s="4"/>
      <c r="F50" s="5"/>
    </row>
    <row r="51" spans="1:6" ht="45" customHeight="1">
      <c r="A51" s="6" t="s">
        <v>36</v>
      </c>
      <c r="B51" s="6" t="s">
        <v>208</v>
      </c>
      <c r="C51" s="6" t="s">
        <v>209</v>
      </c>
      <c r="D51" s="6" t="s">
        <v>153</v>
      </c>
      <c r="E51" s="6"/>
      <c r="F51" s="3"/>
    </row>
    <row r="52" spans="1:6" ht="45" customHeight="1">
      <c r="A52" s="4" t="s">
        <v>37</v>
      </c>
      <c r="B52" s="4" t="s">
        <v>210</v>
      </c>
      <c r="C52" s="4" t="s">
        <v>211</v>
      </c>
      <c r="D52" s="4" t="s">
        <v>153</v>
      </c>
      <c r="E52" s="4"/>
      <c r="F52" s="5"/>
    </row>
    <row r="53" spans="1:6" ht="45" customHeight="1">
      <c r="A53" s="6" t="s">
        <v>37</v>
      </c>
      <c r="B53" s="6" t="s">
        <v>62</v>
      </c>
      <c r="C53" s="6" t="s">
        <v>150</v>
      </c>
      <c r="D53" s="6" t="s">
        <v>153</v>
      </c>
      <c r="E53" s="6"/>
      <c r="F53" s="3"/>
    </row>
    <row r="54" spans="1:6" ht="45" customHeight="1">
      <c r="A54" s="4" t="s">
        <v>37</v>
      </c>
      <c r="B54" s="4" t="s">
        <v>154</v>
      </c>
      <c r="C54" s="4" t="s">
        <v>155</v>
      </c>
      <c r="D54" s="4" t="s">
        <v>153</v>
      </c>
      <c r="E54" s="4"/>
      <c r="F54" s="5"/>
    </row>
    <row r="55" spans="1:6" ht="45" customHeight="1">
      <c r="A55" s="6" t="s">
        <v>37</v>
      </c>
      <c r="B55" s="6" t="s">
        <v>156</v>
      </c>
      <c r="C55" s="6" t="s">
        <v>157</v>
      </c>
      <c r="D55" s="6" t="s">
        <v>153</v>
      </c>
      <c r="E55" s="6"/>
      <c r="F55" s="3"/>
    </row>
    <row r="56" spans="1:6" ht="45" customHeight="1">
      <c r="A56" s="4" t="s">
        <v>37</v>
      </c>
      <c r="B56" s="4" t="s">
        <v>151</v>
      </c>
      <c r="C56" s="4" t="s">
        <v>152</v>
      </c>
      <c r="D56" s="4" t="s">
        <v>153</v>
      </c>
      <c r="E56" s="4"/>
      <c r="F56" s="5"/>
    </row>
    <row r="57" spans="1:6" ht="45" customHeight="1">
      <c r="A57" s="6" t="s">
        <v>37</v>
      </c>
      <c r="B57" s="6" t="s">
        <v>158</v>
      </c>
      <c r="C57" s="6" t="s">
        <v>159</v>
      </c>
      <c r="D57" s="6" t="s">
        <v>153</v>
      </c>
      <c r="E57" s="6"/>
      <c r="F57" s="3"/>
    </row>
    <row r="58" spans="1:6" ht="45" customHeight="1">
      <c r="A58" s="4" t="s">
        <v>37</v>
      </c>
      <c r="B58" s="4" t="s">
        <v>160</v>
      </c>
      <c r="C58" s="4" t="s">
        <v>161</v>
      </c>
      <c r="D58" s="4" t="s">
        <v>153</v>
      </c>
      <c r="E58" s="4"/>
      <c r="F58" s="5"/>
    </row>
    <row r="59" spans="1:6" ht="45" customHeight="1">
      <c r="A59" s="6" t="s">
        <v>37</v>
      </c>
      <c r="B59" s="6" t="s">
        <v>184</v>
      </c>
      <c r="C59" s="6" t="s">
        <v>185</v>
      </c>
      <c r="D59" s="6" t="s">
        <v>153</v>
      </c>
      <c r="E59" s="6"/>
      <c r="F59" s="3"/>
    </row>
    <row r="60" spans="1:6" ht="45" customHeight="1">
      <c r="A60" s="4" t="s">
        <v>37</v>
      </c>
      <c r="B60" s="4" t="s">
        <v>186</v>
      </c>
      <c r="C60" s="4" t="s">
        <v>187</v>
      </c>
      <c r="D60" s="4" t="s">
        <v>153</v>
      </c>
      <c r="E60" s="4"/>
      <c r="F60" s="5"/>
    </row>
    <row r="61" spans="1:6" ht="45" customHeight="1">
      <c r="A61" s="6" t="s">
        <v>37</v>
      </c>
      <c r="B61" s="6" t="s">
        <v>188</v>
      </c>
      <c r="C61" s="6" t="s">
        <v>189</v>
      </c>
      <c r="D61" s="6" t="s">
        <v>153</v>
      </c>
      <c r="E61" s="6"/>
      <c r="F61" s="3"/>
    </row>
    <row r="62" spans="1:6" ht="45" customHeight="1">
      <c r="A62" s="4" t="s">
        <v>37</v>
      </c>
      <c r="B62" s="4" t="s">
        <v>212</v>
      </c>
      <c r="C62" s="4" t="s">
        <v>213</v>
      </c>
      <c r="D62" s="4" t="s">
        <v>153</v>
      </c>
      <c r="E62" s="4"/>
      <c r="F62" s="5"/>
    </row>
    <row r="63" spans="1:6" ht="45" customHeight="1">
      <c r="A63" s="6" t="s">
        <v>37</v>
      </c>
      <c r="B63" s="6" t="s">
        <v>214</v>
      </c>
      <c r="C63" s="6" t="s">
        <v>215</v>
      </c>
      <c r="D63" s="6" t="s">
        <v>153</v>
      </c>
      <c r="E63" s="6"/>
      <c r="F63" s="3"/>
    </row>
    <row r="64" spans="1:6" ht="45" customHeight="1">
      <c r="A64" s="4" t="s">
        <v>37</v>
      </c>
      <c r="B64" s="4" t="s">
        <v>204</v>
      </c>
      <c r="C64" s="4" t="s">
        <v>205</v>
      </c>
      <c r="D64" s="4" t="s">
        <v>153</v>
      </c>
      <c r="E64" s="4"/>
      <c r="F64" s="5"/>
    </row>
    <row r="65" spans="1:6" ht="45" customHeight="1">
      <c r="A65" s="6" t="s">
        <v>37</v>
      </c>
      <c r="B65" s="6" t="s">
        <v>61</v>
      </c>
      <c r="C65" s="6" t="s">
        <v>149</v>
      </c>
      <c r="D65" s="6" t="s">
        <v>153</v>
      </c>
      <c r="E65" s="6"/>
      <c r="F65" s="3"/>
    </row>
    <row r="66" spans="1:6" ht="45" customHeight="1">
      <c r="A66" s="4" t="s">
        <v>37</v>
      </c>
      <c r="B66" s="4" t="s">
        <v>170</v>
      </c>
      <c r="C66" s="4" t="s">
        <v>171</v>
      </c>
      <c r="D66" s="4" t="s">
        <v>153</v>
      </c>
      <c r="E66" s="4"/>
      <c r="F66" s="5"/>
    </row>
    <row r="67" spans="1:6" ht="45" customHeight="1">
      <c r="A67" s="6" t="s">
        <v>38</v>
      </c>
      <c r="B67" s="6" t="s">
        <v>216</v>
      </c>
      <c r="C67" s="6" t="s">
        <v>217</v>
      </c>
      <c r="D67" s="6" t="s">
        <v>153</v>
      </c>
      <c r="E67" s="6"/>
      <c r="F67" s="3"/>
    </row>
    <row r="68" spans="1:6" ht="45" customHeight="1">
      <c r="A68" s="4" t="s">
        <v>38</v>
      </c>
      <c r="B68" s="4" t="s">
        <v>62</v>
      </c>
      <c r="C68" s="4" t="s">
        <v>150</v>
      </c>
      <c r="D68" s="4" t="s">
        <v>153</v>
      </c>
      <c r="E68" s="4"/>
      <c r="F68" s="5"/>
    </row>
    <row r="69" spans="1:6" ht="45" customHeight="1">
      <c r="A69" s="6" t="s">
        <v>38</v>
      </c>
      <c r="B69" s="6" t="s">
        <v>154</v>
      </c>
      <c r="C69" s="6" t="s">
        <v>155</v>
      </c>
      <c r="D69" s="6" t="s">
        <v>153</v>
      </c>
      <c r="E69" s="6"/>
      <c r="F69" s="3"/>
    </row>
    <row r="70" spans="1:6" ht="45" customHeight="1">
      <c r="A70" s="4" t="s">
        <v>38</v>
      </c>
      <c r="B70" s="4" t="s">
        <v>218</v>
      </c>
      <c r="C70" s="4" t="s">
        <v>219</v>
      </c>
      <c r="D70" s="4" t="s">
        <v>153</v>
      </c>
      <c r="E70" s="4"/>
      <c r="F70" s="5"/>
    </row>
    <row r="71" spans="1:6" ht="45" customHeight="1">
      <c r="A71" s="6" t="s">
        <v>38</v>
      </c>
      <c r="B71" s="6" t="s">
        <v>220</v>
      </c>
      <c r="C71" s="6" t="s">
        <v>221</v>
      </c>
      <c r="D71" s="6" t="s">
        <v>153</v>
      </c>
      <c r="E71" s="6"/>
      <c r="F71" s="3"/>
    </row>
    <row r="72" spans="1:6" ht="45" customHeight="1">
      <c r="A72" s="4" t="s">
        <v>38</v>
      </c>
      <c r="B72" s="4" t="s">
        <v>162</v>
      </c>
      <c r="C72" s="4" t="s">
        <v>163</v>
      </c>
      <c r="D72" s="4" t="s">
        <v>153</v>
      </c>
      <c r="E72" s="4"/>
      <c r="F72" s="5"/>
    </row>
    <row r="73" spans="1:6" ht="45" customHeight="1">
      <c r="A73" s="6" t="s">
        <v>38</v>
      </c>
      <c r="B73" s="6" t="s">
        <v>222</v>
      </c>
      <c r="C73" s="6" t="s">
        <v>223</v>
      </c>
      <c r="D73" s="6" t="s">
        <v>153</v>
      </c>
      <c r="E73" s="6"/>
      <c r="F73" s="3"/>
    </row>
    <row r="74" spans="1:6" ht="45" customHeight="1">
      <c r="A74" s="4" t="s">
        <v>38</v>
      </c>
      <c r="B74" s="4" t="s">
        <v>224</v>
      </c>
      <c r="C74" s="4" t="s">
        <v>225</v>
      </c>
      <c r="D74" s="4" t="s">
        <v>153</v>
      </c>
      <c r="E74" s="4"/>
      <c r="F74" s="5"/>
    </row>
    <row r="75" spans="1:6" ht="45" customHeight="1">
      <c r="A75" s="6" t="s">
        <v>38</v>
      </c>
      <c r="B75" s="6" t="s">
        <v>61</v>
      </c>
      <c r="C75" s="6" t="s">
        <v>149</v>
      </c>
      <c r="D75" s="6" t="s">
        <v>153</v>
      </c>
      <c r="E75" s="6"/>
      <c r="F75" s="3"/>
    </row>
    <row r="76" spans="1:6" ht="45" customHeight="1">
      <c r="A76" s="4" t="s">
        <v>38</v>
      </c>
      <c r="B76" s="4" t="s">
        <v>170</v>
      </c>
      <c r="C76" s="4" t="s">
        <v>171</v>
      </c>
      <c r="D76" s="4" t="s">
        <v>153</v>
      </c>
      <c r="E76" s="4"/>
      <c r="F76" s="5"/>
    </row>
    <row r="77" spans="1:6" ht="45" customHeight="1">
      <c r="A77" s="6" t="s">
        <v>39</v>
      </c>
      <c r="B77" s="6" t="s">
        <v>226</v>
      </c>
      <c r="C77" s="6" t="s">
        <v>227</v>
      </c>
      <c r="D77" s="6" t="s">
        <v>153</v>
      </c>
      <c r="E77" s="6"/>
      <c r="F77" s="3"/>
    </row>
    <row r="78" spans="1:6" ht="45" customHeight="1">
      <c r="A78" s="4" t="s">
        <v>39</v>
      </c>
      <c r="B78" s="4" t="s">
        <v>62</v>
      </c>
      <c r="C78" s="4" t="s">
        <v>150</v>
      </c>
      <c r="D78" s="4" t="s">
        <v>153</v>
      </c>
      <c r="E78" s="4"/>
      <c r="F78" s="5"/>
    </row>
    <row r="79" spans="1:6" ht="45" customHeight="1">
      <c r="A79" s="6" t="s">
        <v>39</v>
      </c>
      <c r="B79" s="6" t="s">
        <v>216</v>
      </c>
      <c r="C79" s="6" t="s">
        <v>217</v>
      </c>
      <c r="D79" s="6" t="s">
        <v>153</v>
      </c>
      <c r="E79" s="6"/>
      <c r="F79" s="3"/>
    </row>
    <row r="80" spans="1:6" ht="45" customHeight="1">
      <c r="A80" s="4" t="s">
        <v>39</v>
      </c>
      <c r="B80" s="4" t="s">
        <v>154</v>
      </c>
      <c r="C80" s="4" t="s">
        <v>155</v>
      </c>
      <c r="D80" s="4" t="s">
        <v>153</v>
      </c>
      <c r="E80" s="4"/>
      <c r="F80" s="5"/>
    </row>
    <row r="81" spans="1:6" ht="45" customHeight="1">
      <c r="A81" s="6" t="s">
        <v>39</v>
      </c>
      <c r="B81" s="6" t="s">
        <v>184</v>
      </c>
      <c r="C81" s="6" t="s">
        <v>185</v>
      </c>
      <c r="D81" s="6" t="s">
        <v>153</v>
      </c>
      <c r="E81" s="6"/>
      <c r="F81" s="3"/>
    </row>
    <row r="82" spans="1:6" ht="45" customHeight="1">
      <c r="A82" s="4" t="s">
        <v>39</v>
      </c>
      <c r="B82" s="4" t="s">
        <v>186</v>
      </c>
      <c r="C82" s="4" t="s">
        <v>187</v>
      </c>
      <c r="D82" s="4" t="s">
        <v>153</v>
      </c>
      <c r="E82" s="4"/>
      <c r="F82" s="5"/>
    </row>
    <row r="83" spans="1:6" ht="45" customHeight="1">
      <c r="A83" s="6" t="s">
        <v>39</v>
      </c>
      <c r="B83" s="6" t="s">
        <v>188</v>
      </c>
      <c r="C83" s="6" t="s">
        <v>189</v>
      </c>
      <c r="D83" s="6" t="s">
        <v>153</v>
      </c>
      <c r="E83" s="6"/>
      <c r="F83" s="3"/>
    </row>
    <row r="84" spans="1:6" ht="45" customHeight="1">
      <c r="A84" s="4" t="s">
        <v>39</v>
      </c>
      <c r="B84" s="4" t="s">
        <v>162</v>
      </c>
      <c r="C84" s="4" t="s">
        <v>163</v>
      </c>
      <c r="D84" s="4" t="s">
        <v>153</v>
      </c>
      <c r="E84" s="4"/>
      <c r="F84" s="5"/>
    </row>
    <row r="85" spans="1:6" ht="45" customHeight="1">
      <c r="A85" s="6" t="s">
        <v>39</v>
      </c>
      <c r="B85" s="6" t="s">
        <v>228</v>
      </c>
      <c r="C85" s="6" t="s">
        <v>229</v>
      </c>
      <c r="D85" s="6" t="s">
        <v>153</v>
      </c>
      <c r="E85" s="6"/>
      <c r="F85" s="3"/>
    </row>
    <row r="86" spans="1:6" ht="45" customHeight="1">
      <c r="A86" s="4" t="s">
        <v>39</v>
      </c>
      <c r="B86" s="4" t="s">
        <v>61</v>
      </c>
      <c r="C86" s="4" t="s">
        <v>149</v>
      </c>
      <c r="D86" s="4" t="s">
        <v>153</v>
      </c>
      <c r="E86" s="4"/>
      <c r="F86" s="5"/>
    </row>
    <row r="87" spans="1:6" ht="45" customHeight="1">
      <c r="A87" s="6" t="s">
        <v>40</v>
      </c>
      <c r="B87" s="6" t="s">
        <v>230</v>
      </c>
      <c r="C87" s="6" t="s">
        <v>231</v>
      </c>
      <c r="D87" s="6" t="s">
        <v>153</v>
      </c>
      <c r="E87" s="6"/>
      <c r="F87" s="3"/>
    </row>
    <row r="88" spans="1:6" ht="45" customHeight="1">
      <c r="A88" s="4" t="s">
        <v>40</v>
      </c>
      <c r="B88" s="4" t="s">
        <v>62</v>
      </c>
      <c r="C88" s="4" t="s">
        <v>150</v>
      </c>
      <c r="D88" s="4" t="s">
        <v>153</v>
      </c>
      <c r="E88" s="4"/>
      <c r="F88" s="5"/>
    </row>
    <row r="89" spans="1:6" ht="45" customHeight="1">
      <c r="A89" s="6" t="s">
        <v>40</v>
      </c>
      <c r="B89" s="6" t="s">
        <v>154</v>
      </c>
      <c r="C89" s="6" t="s">
        <v>155</v>
      </c>
      <c r="D89" s="6" t="s">
        <v>153</v>
      </c>
      <c r="E89" s="6"/>
      <c r="F89" s="3"/>
    </row>
    <row r="90" spans="1:6" ht="45" customHeight="1">
      <c r="A90" s="4" t="s">
        <v>40</v>
      </c>
      <c r="B90" s="4" t="s">
        <v>151</v>
      </c>
      <c r="C90" s="4" t="s">
        <v>152</v>
      </c>
      <c r="D90" s="4" t="s">
        <v>153</v>
      </c>
      <c r="E90" s="4"/>
      <c r="F90" s="5"/>
    </row>
    <row r="91" spans="1:6" ht="45" customHeight="1">
      <c r="A91" s="6" t="s">
        <v>40</v>
      </c>
      <c r="B91" s="6" t="s">
        <v>158</v>
      </c>
      <c r="C91" s="6" t="s">
        <v>159</v>
      </c>
      <c r="D91" s="6" t="s">
        <v>153</v>
      </c>
      <c r="E91" s="6"/>
      <c r="F91" s="3"/>
    </row>
    <row r="92" spans="1:6" ht="45" customHeight="1">
      <c r="A92" s="4" t="s">
        <v>40</v>
      </c>
      <c r="B92" s="4" t="s">
        <v>160</v>
      </c>
      <c r="C92" s="4" t="s">
        <v>161</v>
      </c>
      <c r="D92" s="4" t="s">
        <v>153</v>
      </c>
      <c r="E92" s="4"/>
      <c r="F92" s="5"/>
    </row>
    <row r="93" spans="1:6" ht="45" customHeight="1">
      <c r="A93" s="6" t="s">
        <v>40</v>
      </c>
      <c r="B93" s="6" t="s">
        <v>232</v>
      </c>
      <c r="C93" s="6" t="s">
        <v>233</v>
      </c>
      <c r="D93" s="6" t="s">
        <v>153</v>
      </c>
      <c r="E93" s="6"/>
      <c r="F93" s="3"/>
    </row>
    <row r="94" spans="1:6" ht="45" customHeight="1">
      <c r="A94" s="4" t="s">
        <v>40</v>
      </c>
      <c r="B94" s="4" t="s">
        <v>234</v>
      </c>
      <c r="C94" s="4" t="s">
        <v>235</v>
      </c>
      <c r="D94" s="4" t="s">
        <v>153</v>
      </c>
      <c r="E94" s="4"/>
      <c r="F94" s="5"/>
    </row>
    <row r="95" spans="1:6" ht="45" customHeight="1">
      <c r="A95" s="6" t="s">
        <v>40</v>
      </c>
      <c r="B95" s="6" t="s">
        <v>236</v>
      </c>
      <c r="C95" s="6" t="s">
        <v>237</v>
      </c>
      <c r="D95" s="6" t="s">
        <v>153</v>
      </c>
      <c r="E95" s="6"/>
      <c r="F95" s="3"/>
    </row>
    <row r="96" spans="1:6" ht="45" customHeight="1">
      <c r="A96" s="4" t="s">
        <v>40</v>
      </c>
      <c r="B96" s="4" t="s">
        <v>238</v>
      </c>
      <c r="C96" s="4" t="s">
        <v>239</v>
      </c>
      <c r="D96" s="4" t="s">
        <v>153</v>
      </c>
      <c r="E96" s="4"/>
      <c r="F96" s="5"/>
    </row>
    <row r="97" spans="1:6" ht="45" customHeight="1">
      <c r="A97" s="6" t="s">
        <v>40</v>
      </c>
      <c r="B97" s="6" t="s">
        <v>240</v>
      </c>
      <c r="C97" s="6" t="s">
        <v>241</v>
      </c>
      <c r="D97" s="6" t="s">
        <v>153</v>
      </c>
      <c r="E97" s="6"/>
      <c r="F97" s="3"/>
    </row>
    <row r="98" spans="1:6" ht="45" customHeight="1">
      <c r="A98" s="4" t="s">
        <v>40</v>
      </c>
      <c r="B98" s="4" t="s">
        <v>242</v>
      </c>
      <c r="C98" s="4" t="s">
        <v>243</v>
      </c>
      <c r="D98" s="4" t="s">
        <v>153</v>
      </c>
      <c r="E98" s="4"/>
      <c r="F98" s="5"/>
    </row>
    <row r="99" spans="1:6" ht="45" customHeight="1">
      <c r="A99" s="6" t="s">
        <v>40</v>
      </c>
      <c r="B99" s="6" t="s">
        <v>244</v>
      </c>
      <c r="C99" s="6" t="s">
        <v>245</v>
      </c>
      <c r="D99" s="6" t="s">
        <v>153</v>
      </c>
      <c r="E99" s="6"/>
      <c r="F99" s="3"/>
    </row>
    <row r="100" spans="1:6" ht="45" customHeight="1">
      <c r="A100" s="4" t="s">
        <v>40</v>
      </c>
      <c r="B100" s="4" t="s">
        <v>246</v>
      </c>
      <c r="C100" s="4" t="s">
        <v>247</v>
      </c>
      <c r="D100" s="4" t="s">
        <v>153</v>
      </c>
      <c r="E100" s="4"/>
      <c r="F100" s="5"/>
    </row>
    <row r="101" spans="1:6" ht="45" customHeight="1">
      <c r="A101" s="6" t="s">
        <v>41</v>
      </c>
      <c r="B101" s="6" t="s">
        <v>248</v>
      </c>
      <c r="C101" s="6" t="s">
        <v>249</v>
      </c>
      <c r="D101" s="6" t="s">
        <v>142</v>
      </c>
      <c r="E101" s="6"/>
      <c r="F101" s="3"/>
    </row>
    <row r="102" spans="1:6" ht="45" customHeight="1">
      <c r="A102" s="4" t="s">
        <v>41</v>
      </c>
      <c r="B102" s="4" t="s">
        <v>230</v>
      </c>
      <c r="C102" s="4" t="s">
        <v>231</v>
      </c>
      <c r="D102" s="4" t="s">
        <v>142</v>
      </c>
      <c r="E102" s="4"/>
      <c r="F102" s="5"/>
    </row>
    <row r="103" spans="1:6" ht="45" customHeight="1">
      <c r="A103" s="6" t="s">
        <v>41</v>
      </c>
      <c r="B103" s="6" t="s">
        <v>62</v>
      </c>
      <c r="C103" s="6" t="s">
        <v>150</v>
      </c>
      <c r="D103" s="6" t="s">
        <v>142</v>
      </c>
      <c r="E103" s="6"/>
      <c r="F103" s="3"/>
    </row>
    <row r="104" spans="1:6" ht="45" customHeight="1">
      <c r="A104" s="4" t="s">
        <v>41</v>
      </c>
      <c r="B104" s="4" t="s">
        <v>154</v>
      </c>
      <c r="C104" s="4" t="s">
        <v>155</v>
      </c>
      <c r="D104" s="4" t="s">
        <v>142</v>
      </c>
      <c r="E104" s="4"/>
      <c r="F104" s="5"/>
    </row>
    <row r="105" spans="1:6" ht="45" customHeight="1">
      <c r="A105" s="6" t="s">
        <v>41</v>
      </c>
      <c r="B105" s="6" t="s">
        <v>151</v>
      </c>
      <c r="C105" s="6" t="s">
        <v>152</v>
      </c>
      <c r="D105" s="6" t="s">
        <v>142</v>
      </c>
      <c r="E105" s="6"/>
      <c r="F105" s="3"/>
    </row>
    <row r="106" spans="1:6" ht="45" customHeight="1">
      <c r="A106" s="4" t="s">
        <v>41</v>
      </c>
      <c r="B106" s="4" t="s">
        <v>158</v>
      </c>
      <c r="C106" s="4" t="s">
        <v>159</v>
      </c>
      <c r="D106" s="4" t="s">
        <v>142</v>
      </c>
      <c r="E106" s="4"/>
      <c r="F106" s="5"/>
    </row>
    <row r="107" spans="1:6" ht="45" customHeight="1">
      <c r="A107" s="6" t="s">
        <v>41</v>
      </c>
      <c r="B107" s="6" t="s">
        <v>184</v>
      </c>
      <c r="C107" s="6" t="s">
        <v>185</v>
      </c>
      <c r="D107" s="6" t="s">
        <v>142</v>
      </c>
      <c r="E107" s="6"/>
      <c r="F107" s="3"/>
    </row>
    <row r="108" spans="1:6" ht="45" customHeight="1">
      <c r="A108" s="4" t="s">
        <v>41</v>
      </c>
      <c r="B108" s="4" t="s">
        <v>186</v>
      </c>
      <c r="C108" s="4" t="s">
        <v>187</v>
      </c>
      <c r="D108" s="4" t="s">
        <v>142</v>
      </c>
      <c r="E108" s="4"/>
      <c r="F108" s="5"/>
    </row>
    <row r="109" spans="1:6" ht="45" customHeight="1">
      <c r="A109" s="6" t="s">
        <v>41</v>
      </c>
      <c r="B109" s="6" t="s">
        <v>212</v>
      </c>
      <c r="C109" s="6" t="s">
        <v>213</v>
      </c>
      <c r="D109" s="6" t="s">
        <v>142</v>
      </c>
      <c r="E109" s="6"/>
      <c r="F109" s="3"/>
    </row>
    <row r="110" spans="1:6" ht="45" customHeight="1">
      <c r="A110" s="4" t="s">
        <v>41</v>
      </c>
      <c r="B110" s="4" t="s">
        <v>250</v>
      </c>
      <c r="C110" s="4" t="s">
        <v>251</v>
      </c>
      <c r="D110" s="4" t="s">
        <v>142</v>
      </c>
      <c r="E110" s="4"/>
      <c r="F110" s="5"/>
    </row>
    <row r="111" spans="1:6" ht="45" customHeight="1">
      <c r="A111" s="6" t="s">
        <v>41</v>
      </c>
      <c r="B111" s="6" t="s">
        <v>252</v>
      </c>
      <c r="C111" s="6" t="s">
        <v>253</v>
      </c>
      <c r="D111" s="6" t="s">
        <v>142</v>
      </c>
      <c r="E111" s="6"/>
      <c r="F111" s="3"/>
    </row>
    <row r="112" spans="1:6" ht="45" customHeight="1">
      <c r="A112" s="4" t="s">
        <v>41</v>
      </c>
      <c r="B112" s="4" t="s">
        <v>254</v>
      </c>
      <c r="C112" s="4" t="s">
        <v>255</v>
      </c>
      <c r="D112" s="4" t="s">
        <v>142</v>
      </c>
      <c r="E112" s="4"/>
      <c r="F112" s="5"/>
    </row>
    <row r="113" spans="1:6" ht="45" customHeight="1">
      <c r="A113" s="6" t="s">
        <v>41</v>
      </c>
      <c r="B113" s="6" t="s">
        <v>256</v>
      </c>
      <c r="C113" s="6" t="s">
        <v>257</v>
      </c>
      <c r="D113" s="6" t="s">
        <v>142</v>
      </c>
      <c r="E113" s="6"/>
      <c r="F113" s="3"/>
    </row>
    <row r="114" spans="1:6" ht="45" customHeight="1">
      <c r="A114" s="4" t="s">
        <v>41</v>
      </c>
      <c r="B114" s="4" t="s">
        <v>258</v>
      </c>
      <c r="C114" s="4" t="s">
        <v>259</v>
      </c>
      <c r="D114" s="4" t="s">
        <v>142</v>
      </c>
      <c r="E114" s="4"/>
      <c r="F114" s="5"/>
    </row>
    <row r="115" spans="1:6" ht="45" customHeight="1">
      <c r="A115" s="6" t="s">
        <v>41</v>
      </c>
      <c r="B115" s="6" t="s">
        <v>260</v>
      </c>
      <c r="C115" s="6" t="s">
        <v>261</v>
      </c>
      <c r="D115" s="6" t="s">
        <v>142</v>
      </c>
      <c r="E115" s="6"/>
      <c r="F115" s="3"/>
    </row>
    <row r="116" spans="1:6" ht="45" customHeight="1">
      <c r="A116" s="4" t="s">
        <v>41</v>
      </c>
      <c r="B116" s="4" t="s">
        <v>262</v>
      </c>
      <c r="C116" s="4" t="s">
        <v>263</v>
      </c>
      <c r="D116" s="4" t="s">
        <v>142</v>
      </c>
      <c r="E116" s="4"/>
      <c r="F116" s="5"/>
    </row>
    <row r="117" spans="1:6" ht="45" customHeight="1">
      <c r="A117" s="6" t="s">
        <v>41</v>
      </c>
      <c r="B117" s="6" t="s">
        <v>264</v>
      </c>
      <c r="C117" s="6" t="s">
        <v>265</v>
      </c>
      <c r="D117" s="6" t="s">
        <v>142</v>
      </c>
      <c r="E117" s="6"/>
      <c r="F117" s="3"/>
    </row>
    <row r="118" spans="1:6" ht="45" customHeight="1">
      <c r="A118" s="4" t="s">
        <v>41</v>
      </c>
      <c r="B118" s="4" t="s">
        <v>266</v>
      </c>
      <c r="C118" s="4" t="s">
        <v>267</v>
      </c>
      <c r="D118" s="4" t="s">
        <v>142</v>
      </c>
      <c r="E118" s="4"/>
      <c r="F118" s="5"/>
    </row>
    <row r="119" spans="1:6" ht="45" customHeight="1">
      <c r="A119" s="6" t="s">
        <v>41</v>
      </c>
      <c r="B119" s="6" t="s">
        <v>268</v>
      </c>
      <c r="C119" s="6" t="s">
        <v>269</v>
      </c>
      <c r="D119" s="6" t="s">
        <v>142</v>
      </c>
      <c r="E119" s="6"/>
      <c r="F119" s="3"/>
    </row>
    <row r="120" spans="1:6" ht="45" customHeight="1">
      <c r="A120" s="4" t="s">
        <v>41</v>
      </c>
      <c r="B120" s="4" t="s">
        <v>270</v>
      </c>
      <c r="C120" s="4" t="s">
        <v>271</v>
      </c>
      <c r="D120" s="4" t="s">
        <v>142</v>
      </c>
      <c r="E120" s="4"/>
      <c r="F120" s="5"/>
    </row>
    <row r="121" spans="1:6" ht="45" customHeight="1">
      <c r="A121" s="6" t="s">
        <v>41</v>
      </c>
      <c r="B121" s="6" t="s">
        <v>272</v>
      </c>
      <c r="C121" s="6" t="s">
        <v>273</v>
      </c>
      <c r="D121" s="6" t="s">
        <v>142</v>
      </c>
      <c r="E121" s="6"/>
      <c r="F121" s="3"/>
    </row>
    <row r="122" spans="1:6" ht="45" customHeight="1">
      <c r="A122" s="4" t="s">
        <v>41</v>
      </c>
      <c r="B122" s="4" t="s">
        <v>274</v>
      </c>
      <c r="C122" s="4" t="s">
        <v>275</v>
      </c>
      <c r="D122" s="4" t="s">
        <v>142</v>
      </c>
      <c r="E122" s="4"/>
      <c r="F122" s="5"/>
    </row>
    <row r="123" spans="1:6" ht="45" customHeight="1">
      <c r="A123" s="6" t="s">
        <v>41</v>
      </c>
      <c r="B123" s="6" t="s">
        <v>276</v>
      </c>
      <c r="C123" s="6" t="s">
        <v>277</v>
      </c>
      <c r="D123" s="6" t="s">
        <v>142</v>
      </c>
      <c r="E123" s="6"/>
      <c r="F123" s="3"/>
    </row>
    <row r="124" spans="1:6" ht="45" customHeight="1">
      <c r="A124" s="4" t="s">
        <v>41</v>
      </c>
      <c r="B124" s="4" t="s">
        <v>278</v>
      </c>
      <c r="C124" s="4" t="s">
        <v>279</v>
      </c>
      <c r="D124" s="4" t="s">
        <v>142</v>
      </c>
      <c r="E124" s="4"/>
      <c r="F124" s="5"/>
    </row>
    <row r="125" spans="1:6" ht="45" customHeight="1">
      <c r="A125" s="6" t="s">
        <v>41</v>
      </c>
      <c r="B125" s="6" t="s">
        <v>280</v>
      </c>
      <c r="C125" s="6" t="s">
        <v>281</v>
      </c>
      <c r="D125" s="6" t="s">
        <v>142</v>
      </c>
      <c r="E125" s="6"/>
      <c r="F125" s="3"/>
    </row>
    <row r="126" spans="1:6" ht="45" customHeight="1">
      <c r="A126" s="4" t="s">
        <v>41</v>
      </c>
      <c r="B126" s="4" t="s">
        <v>282</v>
      </c>
      <c r="C126" s="4" t="s">
        <v>283</v>
      </c>
      <c r="D126" s="4" t="s">
        <v>142</v>
      </c>
      <c r="E126" s="4"/>
      <c r="F126" s="5"/>
    </row>
    <row r="127" spans="1:6" ht="45" customHeight="1">
      <c r="A127" s="6" t="s">
        <v>41</v>
      </c>
      <c r="B127" s="6" t="s">
        <v>284</v>
      </c>
      <c r="C127" s="6" t="s">
        <v>285</v>
      </c>
      <c r="D127" s="6" t="s">
        <v>142</v>
      </c>
      <c r="E127" s="6"/>
      <c r="F127" s="3"/>
    </row>
    <row r="128" spans="1:6" ht="45" customHeight="1">
      <c r="A128" s="4" t="s">
        <v>42</v>
      </c>
      <c r="B128" s="4" t="s">
        <v>286</v>
      </c>
      <c r="C128" s="4" t="s">
        <v>287</v>
      </c>
      <c r="D128" s="4" t="s">
        <v>142</v>
      </c>
      <c r="E128" s="4"/>
      <c r="F128" s="5"/>
    </row>
    <row r="129" spans="1:6" ht="45" customHeight="1">
      <c r="A129" s="6" t="s">
        <v>42</v>
      </c>
      <c r="B129" s="6" t="s">
        <v>62</v>
      </c>
      <c r="C129" s="6" t="s">
        <v>150</v>
      </c>
      <c r="D129" s="6" t="s">
        <v>142</v>
      </c>
      <c r="E129" s="6"/>
      <c r="F129" s="3"/>
    </row>
    <row r="130" spans="1:6" ht="45" customHeight="1">
      <c r="A130" s="4" t="s">
        <v>42</v>
      </c>
      <c r="B130" s="4" t="s">
        <v>248</v>
      </c>
      <c r="C130" s="4" t="s">
        <v>249</v>
      </c>
      <c r="D130" s="4" t="s">
        <v>142</v>
      </c>
      <c r="E130" s="4"/>
      <c r="F130" s="5"/>
    </row>
    <row r="131" spans="1:6" ht="45" customHeight="1">
      <c r="A131" s="6" t="s">
        <v>42</v>
      </c>
      <c r="B131" s="6" t="s">
        <v>230</v>
      </c>
      <c r="C131" s="6" t="s">
        <v>231</v>
      </c>
      <c r="D131" s="6" t="s">
        <v>142</v>
      </c>
      <c r="E131" s="6"/>
      <c r="F131" s="3"/>
    </row>
    <row r="132" spans="1:6" ht="45" customHeight="1">
      <c r="A132" s="4" t="s">
        <v>42</v>
      </c>
      <c r="B132" s="4" t="s">
        <v>151</v>
      </c>
      <c r="C132" s="4" t="s">
        <v>152</v>
      </c>
      <c r="D132" s="4" t="s">
        <v>142</v>
      </c>
      <c r="E132" s="4"/>
      <c r="F132" s="5"/>
    </row>
    <row r="133" spans="1:6" ht="45" customHeight="1">
      <c r="A133" s="6" t="s">
        <v>42</v>
      </c>
      <c r="B133" s="6" t="s">
        <v>184</v>
      </c>
      <c r="C133" s="6" t="s">
        <v>185</v>
      </c>
      <c r="D133" s="6" t="s">
        <v>142</v>
      </c>
      <c r="E133" s="6"/>
      <c r="F133" s="3"/>
    </row>
    <row r="134" spans="1:6" ht="45" customHeight="1">
      <c r="A134" s="4" t="s">
        <v>42</v>
      </c>
      <c r="B134" s="4" t="s">
        <v>288</v>
      </c>
      <c r="C134" s="4" t="s">
        <v>289</v>
      </c>
      <c r="D134" s="4" t="s">
        <v>142</v>
      </c>
      <c r="E134" s="4"/>
      <c r="F134" s="5"/>
    </row>
    <row r="135" spans="1:6" ht="45" customHeight="1">
      <c r="A135" s="6" t="s">
        <v>42</v>
      </c>
      <c r="B135" s="6" t="s">
        <v>290</v>
      </c>
      <c r="C135" s="6" t="s">
        <v>291</v>
      </c>
      <c r="D135" s="6" t="s">
        <v>142</v>
      </c>
      <c r="E135" s="6"/>
      <c r="F135" s="3"/>
    </row>
    <row r="136" spans="1:6" ht="45" customHeight="1">
      <c r="A136" s="4" t="s">
        <v>42</v>
      </c>
      <c r="B136" s="4" t="s">
        <v>274</v>
      </c>
      <c r="C136" s="4" t="s">
        <v>275</v>
      </c>
      <c r="D136" s="4" t="s">
        <v>142</v>
      </c>
      <c r="E136" s="4"/>
      <c r="F136" s="5"/>
    </row>
    <row r="137" spans="1:6" ht="45" customHeight="1">
      <c r="A137" s="6" t="s">
        <v>42</v>
      </c>
      <c r="B137" s="6" t="s">
        <v>292</v>
      </c>
      <c r="C137" s="6" t="s">
        <v>293</v>
      </c>
      <c r="D137" s="6" t="s">
        <v>142</v>
      </c>
      <c r="E137" s="6"/>
      <c r="F137" s="3"/>
    </row>
    <row r="138" spans="1:6" ht="45" customHeight="1">
      <c r="A138" s="4" t="s">
        <v>42</v>
      </c>
      <c r="B138" s="4" t="s">
        <v>294</v>
      </c>
      <c r="C138" s="4" t="s">
        <v>295</v>
      </c>
      <c r="D138" s="4" t="s">
        <v>142</v>
      </c>
      <c r="E138" s="4"/>
      <c r="F138" s="5"/>
    </row>
    <row r="139" spans="1:6" ht="45" customHeight="1">
      <c r="A139" s="6" t="s">
        <v>42</v>
      </c>
      <c r="B139" s="6" t="s">
        <v>296</v>
      </c>
      <c r="C139" s="6" t="s">
        <v>297</v>
      </c>
      <c r="D139" s="6" t="s">
        <v>142</v>
      </c>
      <c r="E139" s="6"/>
      <c r="F139" s="3"/>
    </row>
    <row r="140" spans="1:6" ht="45" customHeight="1">
      <c r="A140" s="4" t="s">
        <v>42</v>
      </c>
      <c r="B140" s="4" t="s">
        <v>298</v>
      </c>
      <c r="C140" s="4" t="s">
        <v>299</v>
      </c>
      <c r="D140" s="4" t="s">
        <v>142</v>
      </c>
      <c r="E140" s="4"/>
      <c r="F140" s="5"/>
    </row>
    <row r="141" spans="1:6" ht="45" customHeight="1">
      <c r="A141" s="6" t="s">
        <v>43</v>
      </c>
      <c r="B141" s="6" t="s">
        <v>300</v>
      </c>
      <c r="C141" s="6" t="s">
        <v>301</v>
      </c>
      <c r="D141" s="6" t="s">
        <v>142</v>
      </c>
      <c r="E141" s="6"/>
      <c r="F141" s="3"/>
    </row>
    <row r="142" spans="1:6" ht="45" customHeight="1">
      <c r="A142" s="4" t="s">
        <v>43</v>
      </c>
      <c r="B142" s="4" t="s">
        <v>62</v>
      </c>
      <c r="C142" s="4" t="s">
        <v>150</v>
      </c>
      <c r="D142" s="4" t="s">
        <v>142</v>
      </c>
      <c r="E142" s="4"/>
      <c r="F142" s="5"/>
    </row>
    <row r="143" spans="1:6" ht="45" customHeight="1">
      <c r="A143" s="6" t="s">
        <v>43</v>
      </c>
      <c r="B143" s="6" t="s">
        <v>230</v>
      </c>
      <c r="C143" s="6" t="s">
        <v>231</v>
      </c>
      <c r="D143" s="6" t="s">
        <v>142</v>
      </c>
      <c r="E143" s="6"/>
      <c r="F143" s="3"/>
    </row>
    <row r="144" spans="1:6" ht="45" customHeight="1">
      <c r="A144" s="4" t="s">
        <v>43</v>
      </c>
      <c r="B144" s="4" t="s">
        <v>154</v>
      </c>
      <c r="C144" s="4" t="s">
        <v>155</v>
      </c>
      <c r="D144" s="4" t="s">
        <v>142</v>
      </c>
      <c r="E144" s="4"/>
      <c r="F144" s="5"/>
    </row>
    <row r="145" spans="1:6" ht="45" customHeight="1">
      <c r="A145" s="6" t="s">
        <v>43</v>
      </c>
      <c r="B145" s="6" t="s">
        <v>151</v>
      </c>
      <c r="C145" s="6" t="s">
        <v>152</v>
      </c>
      <c r="D145" s="6" t="s">
        <v>142</v>
      </c>
      <c r="E145" s="6"/>
      <c r="F145" s="3"/>
    </row>
    <row r="146" spans="1:6" ht="45" customHeight="1">
      <c r="A146" s="4" t="s">
        <v>43</v>
      </c>
      <c r="B146" s="4" t="s">
        <v>232</v>
      </c>
      <c r="C146" s="4" t="s">
        <v>233</v>
      </c>
      <c r="D146" s="4" t="s">
        <v>142</v>
      </c>
      <c r="E146" s="4"/>
      <c r="F146" s="5"/>
    </row>
    <row r="147" spans="1:6" ht="45" customHeight="1">
      <c r="A147" s="6" t="s">
        <v>43</v>
      </c>
      <c r="B147" s="6" t="s">
        <v>302</v>
      </c>
      <c r="C147" s="6" t="s">
        <v>303</v>
      </c>
      <c r="D147" s="6" t="s">
        <v>142</v>
      </c>
      <c r="E147" s="6"/>
      <c r="F147" s="3"/>
    </row>
    <row r="148" spans="1:6" ht="45" customHeight="1">
      <c r="A148" s="4" t="s">
        <v>43</v>
      </c>
      <c r="B148" s="4" t="s">
        <v>238</v>
      </c>
      <c r="C148" s="4" t="s">
        <v>239</v>
      </c>
      <c r="D148" s="4" t="s">
        <v>142</v>
      </c>
      <c r="E148" s="4"/>
      <c r="F148" s="5"/>
    </row>
    <row r="149" spans="1:6" ht="45" customHeight="1">
      <c r="A149" s="6" t="s">
        <v>43</v>
      </c>
      <c r="B149" s="6" t="s">
        <v>304</v>
      </c>
      <c r="C149" s="6" t="s">
        <v>305</v>
      </c>
      <c r="D149" s="6" t="s">
        <v>142</v>
      </c>
      <c r="E149" s="6"/>
      <c r="F149" s="3"/>
    </row>
    <row r="150" spans="1:6" ht="45" customHeight="1">
      <c r="A150" s="4" t="s">
        <v>43</v>
      </c>
      <c r="B150" s="4" t="s">
        <v>306</v>
      </c>
      <c r="C150" s="4" t="s">
        <v>307</v>
      </c>
      <c r="D150" s="4" t="s">
        <v>142</v>
      </c>
      <c r="E150" s="4"/>
      <c r="F150" s="5"/>
    </row>
    <row r="151" spans="1:6" ht="45" customHeight="1">
      <c r="A151" s="6" t="s">
        <v>43</v>
      </c>
      <c r="B151" s="6" t="s">
        <v>308</v>
      </c>
      <c r="C151" s="6" t="s">
        <v>309</v>
      </c>
      <c r="D151" s="6" t="s">
        <v>142</v>
      </c>
      <c r="E151" s="6"/>
      <c r="F151" s="3"/>
    </row>
    <row r="152" spans="1:6" ht="45" customHeight="1">
      <c r="A152" s="4" t="s">
        <v>43</v>
      </c>
      <c r="B152" s="4" t="s">
        <v>310</v>
      </c>
      <c r="C152" s="4" t="s">
        <v>311</v>
      </c>
      <c r="D152" s="4" t="s">
        <v>142</v>
      </c>
      <c r="E152" s="4"/>
      <c r="F152" s="5"/>
    </row>
    <row r="153" spans="1:6" ht="45" customHeight="1">
      <c r="A153" s="6" t="s">
        <v>43</v>
      </c>
      <c r="B153" s="6" t="s">
        <v>312</v>
      </c>
      <c r="C153" s="6" t="s">
        <v>313</v>
      </c>
      <c r="D153" s="6" t="s">
        <v>142</v>
      </c>
      <c r="E153" s="6"/>
      <c r="F153" s="3"/>
    </row>
    <row r="154" spans="1:6" ht="45" customHeight="1">
      <c r="A154" s="4" t="s">
        <v>43</v>
      </c>
      <c r="B154" s="4" t="s">
        <v>314</v>
      </c>
      <c r="C154" s="4" t="s">
        <v>315</v>
      </c>
      <c r="D154" s="4" t="s">
        <v>142</v>
      </c>
      <c r="E154" s="4"/>
      <c r="F154" s="5"/>
    </row>
    <row r="155" spans="1:6" ht="45" customHeight="1">
      <c r="A155" s="6" t="s">
        <v>44</v>
      </c>
      <c r="B155" s="6" t="s">
        <v>316</v>
      </c>
      <c r="C155" s="6" t="s">
        <v>317</v>
      </c>
      <c r="D155" s="6" t="s">
        <v>318</v>
      </c>
      <c r="E155" s="6" t="s">
        <v>319</v>
      </c>
      <c r="F155" s="3"/>
    </row>
    <row r="156" spans="1:6" ht="45" customHeight="1">
      <c r="A156" s="4" t="s">
        <v>44</v>
      </c>
      <c r="B156" s="4" t="s">
        <v>320</v>
      </c>
      <c r="C156" s="4" t="s">
        <v>321</v>
      </c>
      <c r="D156" s="4" t="s">
        <v>318</v>
      </c>
      <c r="E156" s="4" t="s">
        <v>319</v>
      </c>
      <c r="F156" s="5"/>
    </row>
    <row r="157" spans="1:6" ht="45" customHeight="1">
      <c r="A157" s="6" t="s">
        <v>44</v>
      </c>
      <c r="B157" s="6" t="s">
        <v>62</v>
      </c>
      <c r="C157" s="6" t="s">
        <v>150</v>
      </c>
      <c r="D157" s="6" t="s">
        <v>318</v>
      </c>
      <c r="E157" s="6" t="s">
        <v>319</v>
      </c>
      <c r="F157" s="3"/>
    </row>
    <row r="158" spans="1:6" ht="45" customHeight="1">
      <c r="A158" s="4" t="s">
        <v>44</v>
      </c>
      <c r="B158" s="4" t="s">
        <v>154</v>
      </c>
      <c r="C158" s="4" t="s">
        <v>155</v>
      </c>
      <c r="D158" s="4" t="s">
        <v>318</v>
      </c>
      <c r="E158" s="4" t="s">
        <v>319</v>
      </c>
      <c r="F158" s="5"/>
    </row>
    <row r="159" spans="1:6" ht="45" customHeight="1">
      <c r="A159" s="6" t="s">
        <v>44</v>
      </c>
      <c r="B159" s="6" t="s">
        <v>322</v>
      </c>
      <c r="C159" s="6" t="s">
        <v>323</v>
      </c>
      <c r="D159" s="6" t="s">
        <v>318</v>
      </c>
      <c r="E159" s="6" t="s">
        <v>319</v>
      </c>
      <c r="F159" s="3"/>
    </row>
    <row r="160" spans="1:6" ht="45" customHeight="1">
      <c r="A160" s="4" t="s">
        <v>44</v>
      </c>
      <c r="B160" s="4" t="s">
        <v>151</v>
      </c>
      <c r="C160" s="4" t="s">
        <v>152</v>
      </c>
      <c r="D160" s="4" t="s">
        <v>318</v>
      </c>
      <c r="E160" s="4" t="s">
        <v>319</v>
      </c>
      <c r="F160" s="5"/>
    </row>
    <row r="161" spans="1:6" ht="45" customHeight="1">
      <c r="A161" s="6" t="s">
        <v>44</v>
      </c>
      <c r="B161" s="6" t="s">
        <v>158</v>
      </c>
      <c r="C161" s="6" t="s">
        <v>159</v>
      </c>
      <c r="D161" s="6" t="s">
        <v>318</v>
      </c>
      <c r="E161" s="6" t="s">
        <v>319</v>
      </c>
      <c r="F161" s="3"/>
    </row>
    <row r="162" spans="1:6" ht="45" customHeight="1">
      <c r="A162" s="4" t="s">
        <v>44</v>
      </c>
      <c r="B162" s="4" t="s">
        <v>160</v>
      </c>
      <c r="C162" s="4" t="s">
        <v>161</v>
      </c>
      <c r="D162" s="4" t="s">
        <v>318</v>
      </c>
      <c r="E162" s="4" t="s">
        <v>319</v>
      </c>
      <c r="F162" s="5"/>
    </row>
    <row r="163" spans="1:6" ht="45" customHeight="1">
      <c r="A163" s="6" t="s">
        <v>44</v>
      </c>
      <c r="B163" s="6" t="s">
        <v>324</v>
      </c>
      <c r="C163" s="6" t="s">
        <v>325</v>
      </c>
      <c r="D163" s="6" t="s">
        <v>318</v>
      </c>
      <c r="E163" s="6" t="s">
        <v>319</v>
      </c>
      <c r="F163" s="3"/>
    </row>
    <row r="164" spans="1:6" ht="45" customHeight="1">
      <c r="A164" s="4" t="s">
        <v>44</v>
      </c>
      <c r="B164" s="4" t="s">
        <v>326</v>
      </c>
      <c r="C164" s="4" t="s">
        <v>327</v>
      </c>
      <c r="D164" s="4" t="s">
        <v>318</v>
      </c>
      <c r="E164" s="4" t="s">
        <v>319</v>
      </c>
      <c r="F164" s="5"/>
    </row>
    <row r="165" spans="1:6" ht="45" customHeight="1">
      <c r="A165" s="6" t="s">
        <v>44</v>
      </c>
      <c r="B165" s="6" t="s">
        <v>328</v>
      </c>
      <c r="C165" s="6" t="s">
        <v>329</v>
      </c>
      <c r="D165" s="6" t="s">
        <v>318</v>
      </c>
      <c r="E165" s="6" t="s">
        <v>319</v>
      </c>
      <c r="F165" s="3"/>
    </row>
    <row r="166" spans="1:6" ht="45" customHeight="1">
      <c r="A166" s="4" t="s">
        <v>44</v>
      </c>
      <c r="B166" s="4" t="s">
        <v>330</v>
      </c>
      <c r="C166" s="4" t="s">
        <v>331</v>
      </c>
      <c r="D166" s="4" t="s">
        <v>318</v>
      </c>
      <c r="E166" s="4" t="s">
        <v>319</v>
      </c>
      <c r="F166" s="5"/>
    </row>
    <row r="167" spans="1:6" ht="45" customHeight="1">
      <c r="A167" s="6" t="s">
        <v>44</v>
      </c>
      <c r="B167" s="6" t="s">
        <v>332</v>
      </c>
      <c r="C167" s="6" t="s">
        <v>333</v>
      </c>
      <c r="D167" s="6" t="s">
        <v>318</v>
      </c>
      <c r="E167" s="6" t="s">
        <v>319</v>
      </c>
      <c r="F167" s="3"/>
    </row>
    <row r="168" spans="1:6" ht="45" customHeight="1">
      <c r="A168" s="4" t="s">
        <v>44</v>
      </c>
      <c r="B168" s="4" t="s">
        <v>334</v>
      </c>
      <c r="C168" s="4" t="s">
        <v>335</v>
      </c>
      <c r="D168" s="4" t="s">
        <v>318</v>
      </c>
      <c r="E168" s="4" t="s">
        <v>319</v>
      </c>
      <c r="F168" s="5"/>
    </row>
    <row r="169" spans="1:6" ht="45" customHeight="1">
      <c r="A169" s="6" t="s">
        <v>45</v>
      </c>
      <c r="B169" s="6" t="s">
        <v>336</v>
      </c>
      <c r="C169" s="6" t="s">
        <v>337</v>
      </c>
      <c r="D169" s="6" t="s">
        <v>318</v>
      </c>
      <c r="E169" s="6" t="s">
        <v>319</v>
      </c>
      <c r="F169" s="3"/>
    </row>
    <row r="170" spans="1:6" ht="45" customHeight="1">
      <c r="A170" s="4" t="s">
        <v>45</v>
      </c>
      <c r="B170" s="4" t="s">
        <v>62</v>
      </c>
      <c r="C170" s="4" t="s">
        <v>150</v>
      </c>
      <c r="D170" s="4" t="s">
        <v>318</v>
      </c>
      <c r="E170" s="4" t="s">
        <v>319</v>
      </c>
      <c r="F170" s="5"/>
    </row>
    <row r="171" spans="1:6" ht="45" customHeight="1">
      <c r="A171" s="6" t="s">
        <v>45</v>
      </c>
      <c r="B171" s="6" t="s">
        <v>316</v>
      </c>
      <c r="C171" s="6" t="s">
        <v>317</v>
      </c>
      <c r="D171" s="6" t="s">
        <v>318</v>
      </c>
      <c r="E171" s="6" t="s">
        <v>319</v>
      </c>
      <c r="F171" s="3"/>
    </row>
    <row r="172" spans="1:6" ht="45" customHeight="1">
      <c r="A172" s="4" t="s">
        <v>45</v>
      </c>
      <c r="B172" s="4" t="s">
        <v>151</v>
      </c>
      <c r="C172" s="4" t="s">
        <v>152</v>
      </c>
      <c r="D172" s="4" t="s">
        <v>318</v>
      </c>
      <c r="E172" s="4" t="s">
        <v>319</v>
      </c>
      <c r="F172" s="5"/>
    </row>
    <row r="173" spans="1:6" ht="45" customHeight="1">
      <c r="A173" s="6" t="s">
        <v>45</v>
      </c>
      <c r="B173" s="6" t="s">
        <v>230</v>
      </c>
      <c r="C173" s="6" t="s">
        <v>231</v>
      </c>
      <c r="D173" s="6" t="s">
        <v>318</v>
      </c>
      <c r="E173" s="6" t="s">
        <v>319</v>
      </c>
      <c r="F173" s="3"/>
    </row>
    <row r="174" spans="1:6" ht="45" customHeight="1">
      <c r="A174" s="4" t="s">
        <v>45</v>
      </c>
      <c r="B174" s="4" t="s">
        <v>300</v>
      </c>
      <c r="C174" s="4" t="s">
        <v>301</v>
      </c>
      <c r="D174" s="4" t="s">
        <v>318</v>
      </c>
      <c r="E174" s="4" t="s">
        <v>319</v>
      </c>
      <c r="F174" s="5"/>
    </row>
    <row r="175" spans="1:6" ht="45" customHeight="1">
      <c r="A175" s="6" t="s">
        <v>45</v>
      </c>
      <c r="B175" s="6" t="s">
        <v>338</v>
      </c>
      <c r="C175" s="6" t="s">
        <v>339</v>
      </c>
      <c r="D175" s="6" t="s">
        <v>318</v>
      </c>
      <c r="E175" s="6" t="s">
        <v>319</v>
      </c>
      <c r="F175" s="3"/>
    </row>
    <row r="176" spans="1:6" ht="45" customHeight="1">
      <c r="A176" s="4" t="s">
        <v>45</v>
      </c>
      <c r="B176" s="4" t="s">
        <v>340</v>
      </c>
      <c r="C176" s="4" t="s">
        <v>341</v>
      </c>
      <c r="D176" s="4" t="s">
        <v>318</v>
      </c>
      <c r="E176" s="4" t="s">
        <v>319</v>
      </c>
      <c r="F176" s="5"/>
    </row>
    <row r="177" spans="1:6" ht="45" customHeight="1">
      <c r="A177" s="6" t="s">
        <v>45</v>
      </c>
      <c r="B177" s="6" t="s">
        <v>342</v>
      </c>
      <c r="C177" s="6" t="s">
        <v>343</v>
      </c>
      <c r="D177" s="6" t="s">
        <v>318</v>
      </c>
      <c r="E177" s="6" t="s">
        <v>319</v>
      </c>
      <c r="F177" s="3"/>
    </row>
    <row r="178" spans="1:6" ht="45" customHeight="1">
      <c r="A178" s="4" t="s">
        <v>45</v>
      </c>
      <c r="B178" s="4" t="s">
        <v>60</v>
      </c>
      <c r="C178" s="4" t="s">
        <v>148</v>
      </c>
      <c r="D178" s="4" t="s">
        <v>318</v>
      </c>
      <c r="E178" s="4" t="s">
        <v>319</v>
      </c>
      <c r="F178" s="5"/>
    </row>
    <row r="179" spans="1:6" ht="45" customHeight="1">
      <c r="A179" s="6" t="s">
        <v>46</v>
      </c>
      <c r="B179" s="6" t="s">
        <v>344</v>
      </c>
      <c r="C179" s="6" t="s">
        <v>345</v>
      </c>
      <c r="D179" s="6" t="s">
        <v>318</v>
      </c>
      <c r="E179" s="6" t="s">
        <v>319</v>
      </c>
      <c r="F179" s="3"/>
    </row>
    <row r="180" spans="1:6" ht="45" customHeight="1">
      <c r="A180" s="4" t="s">
        <v>46</v>
      </c>
      <c r="B180" s="4" t="s">
        <v>62</v>
      </c>
      <c r="C180" s="4" t="s">
        <v>150</v>
      </c>
      <c r="D180" s="4" t="s">
        <v>318</v>
      </c>
      <c r="E180" s="4" t="s">
        <v>319</v>
      </c>
      <c r="F180" s="5"/>
    </row>
    <row r="181" spans="1:6" ht="45" customHeight="1">
      <c r="A181" s="6" t="s">
        <v>46</v>
      </c>
      <c r="B181" s="6" t="s">
        <v>336</v>
      </c>
      <c r="C181" s="6" t="s">
        <v>337</v>
      </c>
      <c r="D181" s="6" t="s">
        <v>318</v>
      </c>
      <c r="E181" s="6" t="s">
        <v>319</v>
      </c>
      <c r="F181" s="3"/>
    </row>
    <row r="182" spans="1:6" ht="45" customHeight="1">
      <c r="A182" s="4" t="s">
        <v>46</v>
      </c>
      <c r="B182" s="4" t="s">
        <v>316</v>
      </c>
      <c r="C182" s="4" t="s">
        <v>317</v>
      </c>
      <c r="D182" s="4" t="s">
        <v>318</v>
      </c>
      <c r="E182" s="4" t="s">
        <v>319</v>
      </c>
      <c r="F182" s="5"/>
    </row>
    <row r="183" spans="1:6" ht="45" customHeight="1">
      <c r="A183" s="6" t="s">
        <v>46</v>
      </c>
      <c r="B183" s="6" t="s">
        <v>151</v>
      </c>
      <c r="C183" s="6" t="s">
        <v>152</v>
      </c>
      <c r="D183" s="6" t="s">
        <v>318</v>
      </c>
      <c r="E183" s="6" t="s">
        <v>319</v>
      </c>
      <c r="F183" s="3"/>
    </row>
    <row r="184" spans="1:6" ht="45" customHeight="1">
      <c r="A184" s="4" t="s">
        <v>46</v>
      </c>
      <c r="B184" s="4" t="s">
        <v>230</v>
      </c>
      <c r="C184" s="4" t="s">
        <v>231</v>
      </c>
      <c r="D184" s="4" t="s">
        <v>318</v>
      </c>
      <c r="E184" s="4" t="s">
        <v>319</v>
      </c>
      <c r="F184" s="5"/>
    </row>
    <row r="185" spans="1:6" ht="45" customHeight="1">
      <c r="A185" s="6" t="s">
        <v>46</v>
      </c>
      <c r="B185" s="6" t="s">
        <v>300</v>
      </c>
      <c r="C185" s="6" t="s">
        <v>301</v>
      </c>
      <c r="D185" s="6" t="s">
        <v>318</v>
      </c>
      <c r="E185" s="6" t="s">
        <v>319</v>
      </c>
      <c r="F185" s="3"/>
    </row>
    <row r="186" spans="1:6" ht="45" customHeight="1">
      <c r="A186" s="4" t="s">
        <v>46</v>
      </c>
      <c r="B186" s="4" t="s">
        <v>346</v>
      </c>
      <c r="C186" s="4" t="s">
        <v>347</v>
      </c>
      <c r="D186" s="4" t="s">
        <v>318</v>
      </c>
      <c r="E186" s="4" t="s">
        <v>319</v>
      </c>
      <c r="F186" s="5"/>
    </row>
    <row r="187" spans="1:6" ht="45" customHeight="1">
      <c r="A187" s="6" t="s">
        <v>46</v>
      </c>
      <c r="B187" s="6" t="s">
        <v>348</v>
      </c>
      <c r="C187" s="6" t="s">
        <v>349</v>
      </c>
      <c r="D187" s="6" t="s">
        <v>318</v>
      </c>
      <c r="E187" s="6" t="s">
        <v>319</v>
      </c>
      <c r="F187" s="3"/>
    </row>
    <row r="188" spans="1:6" ht="45" customHeight="1">
      <c r="A188" s="4" t="s">
        <v>46</v>
      </c>
      <c r="B188" s="4" t="s">
        <v>350</v>
      </c>
      <c r="C188" s="4" t="s">
        <v>351</v>
      </c>
      <c r="D188" s="4" t="s">
        <v>318</v>
      </c>
      <c r="E188" s="4" t="s">
        <v>319</v>
      </c>
      <c r="F188" s="5"/>
    </row>
    <row r="189" spans="1:6" ht="45" customHeight="1">
      <c r="A189" s="6" t="s">
        <v>46</v>
      </c>
      <c r="B189" s="6" t="s">
        <v>352</v>
      </c>
      <c r="C189" s="6" t="s">
        <v>353</v>
      </c>
      <c r="D189" s="6" t="s">
        <v>318</v>
      </c>
      <c r="E189" s="6" t="s">
        <v>319</v>
      </c>
      <c r="F189" s="3"/>
    </row>
    <row r="190" spans="1:6" ht="45" customHeight="1">
      <c r="A190" s="4" t="s">
        <v>46</v>
      </c>
      <c r="B190" s="4" t="s">
        <v>354</v>
      </c>
      <c r="C190" s="4" t="s">
        <v>355</v>
      </c>
      <c r="D190" s="4" t="s">
        <v>318</v>
      </c>
      <c r="E190" s="4" t="s">
        <v>319</v>
      </c>
      <c r="F190" s="5"/>
    </row>
    <row r="191" spans="1:6" ht="45" customHeight="1">
      <c r="A191" s="6" t="s">
        <v>46</v>
      </c>
      <c r="B191" s="6" t="s">
        <v>356</v>
      </c>
      <c r="C191" s="6" t="s">
        <v>357</v>
      </c>
      <c r="D191" s="6" t="s">
        <v>318</v>
      </c>
      <c r="E191" s="6" t="s">
        <v>319</v>
      </c>
      <c r="F191" s="3"/>
    </row>
    <row r="192" spans="1:6" ht="45" customHeight="1">
      <c r="A192" s="4" t="s">
        <v>46</v>
      </c>
      <c r="B192" s="4" t="s">
        <v>358</v>
      </c>
      <c r="C192" s="4" t="s">
        <v>359</v>
      </c>
      <c r="D192" s="4" t="s">
        <v>318</v>
      </c>
      <c r="E192" s="4" t="s">
        <v>319</v>
      </c>
      <c r="F192" s="5"/>
    </row>
    <row r="193" spans="1:6" ht="45" customHeight="1">
      <c r="A193" s="6" t="s">
        <v>47</v>
      </c>
      <c r="B193" s="6" t="s">
        <v>360</v>
      </c>
      <c r="C193" s="6" t="s">
        <v>361</v>
      </c>
      <c r="D193" s="6" t="s">
        <v>318</v>
      </c>
      <c r="E193" s="6" t="s">
        <v>319</v>
      </c>
      <c r="F193" s="3"/>
    </row>
    <row r="194" spans="1:6" ht="45" customHeight="1">
      <c r="A194" s="4" t="s">
        <v>47</v>
      </c>
      <c r="B194" s="4" t="s">
        <v>62</v>
      </c>
      <c r="C194" s="4" t="s">
        <v>150</v>
      </c>
      <c r="D194" s="4" t="s">
        <v>318</v>
      </c>
      <c r="E194" s="4" t="s">
        <v>319</v>
      </c>
      <c r="F194" s="5"/>
    </row>
    <row r="195" spans="1:6" ht="45" customHeight="1">
      <c r="A195" s="6" t="s">
        <v>47</v>
      </c>
      <c r="B195" s="6" t="s">
        <v>316</v>
      </c>
      <c r="C195" s="6" t="s">
        <v>317</v>
      </c>
      <c r="D195" s="6" t="s">
        <v>318</v>
      </c>
      <c r="E195" s="6" t="s">
        <v>319</v>
      </c>
      <c r="F195" s="3"/>
    </row>
    <row r="196" spans="1:6" ht="45" customHeight="1">
      <c r="A196" s="4" t="s">
        <v>47</v>
      </c>
      <c r="B196" s="4" t="s">
        <v>151</v>
      </c>
      <c r="C196" s="4" t="s">
        <v>152</v>
      </c>
      <c r="D196" s="4" t="s">
        <v>318</v>
      </c>
      <c r="E196" s="4" t="s">
        <v>319</v>
      </c>
      <c r="F196" s="5"/>
    </row>
    <row r="197" spans="1:6" ht="45" customHeight="1">
      <c r="A197" s="6" t="s">
        <v>47</v>
      </c>
      <c r="B197" s="6" t="s">
        <v>322</v>
      </c>
      <c r="C197" s="6" t="s">
        <v>323</v>
      </c>
      <c r="D197" s="6" t="s">
        <v>318</v>
      </c>
      <c r="E197" s="6" t="s">
        <v>319</v>
      </c>
      <c r="F197" s="3"/>
    </row>
    <row r="198" spans="1:6" ht="45" customHeight="1">
      <c r="A198" s="4" t="s">
        <v>47</v>
      </c>
      <c r="B198" s="4" t="s">
        <v>184</v>
      </c>
      <c r="C198" s="4" t="s">
        <v>185</v>
      </c>
      <c r="D198" s="4" t="s">
        <v>318</v>
      </c>
      <c r="E198" s="4" t="s">
        <v>319</v>
      </c>
      <c r="F198" s="5"/>
    </row>
    <row r="199" spans="1:6" ht="45" customHeight="1">
      <c r="A199" s="6" t="s">
        <v>47</v>
      </c>
      <c r="B199" s="6" t="s">
        <v>186</v>
      </c>
      <c r="C199" s="6" t="s">
        <v>187</v>
      </c>
      <c r="D199" s="6" t="s">
        <v>318</v>
      </c>
      <c r="E199" s="6" t="s">
        <v>319</v>
      </c>
      <c r="F199" s="3"/>
    </row>
    <row r="200" spans="1:6" ht="45" customHeight="1">
      <c r="A200" s="4" t="s">
        <v>47</v>
      </c>
      <c r="B200" s="4" t="s">
        <v>188</v>
      </c>
      <c r="C200" s="4" t="s">
        <v>189</v>
      </c>
      <c r="D200" s="4" t="s">
        <v>318</v>
      </c>
      <c r="E200" s="4" t="s">
        <v>319</v>
      </c>
      <c r="F200" s="5"/>
    </row>
    <row r="201" spans="1:6" ht="45" customHeight="1">
      <c r="A201" s="6" t="s">
        <v>47</v>
      </c>
      <c r="B201" s="6" t="s">
        <v>362</v>
      </c>
      <c r="C201" s="6" t="s">
        <v>363</v>
      </c>
      <c r="D201" s="6" t="s">
        <v>318</v>
      </c>
      <c r="E201" s="6" t="s">
        <v>319</v>
      </c>
      <c r="F201" s="3"/>
    </row>
    <row r="202" spans="1:6" ht="45" customHeight="1">
      <c r="A202" s="4" t="s">
        <v>47</v>
      </c>
      <c r="B202" s="4" t="s">
        <v>364</v>
      </c>
      <c r="C202" s="4" t="s">
        <v>365</v>
      </c>
      <c r="D202" s="4" t="s">
        <v>318</v>
      </c>
      <c r="E202" s="4" t="s">
        <v>319</v>
      </c>
      <c r="F202" s="5"/>
    </row>
    <row r="203" spans="1:6" ht="45" customHeight="1">
      <c r="A203" s="6" t="s">
        <v>47</v>
      </c>
      <c r="B203" s="6" t="s">
        <v>366</v>
      </c>
      <c r="C203" s="6" t="s">
        <v>367</v>
      </c>
      <c r="D203" s="6" t="s">
        <v>318</v>
      </c>
      <c r="E203" s="6" t="s">
        <v>319</v>
      </c>
      <c r="F203" s="3"/>
    </row>
    <row r="204" spans="1:6" ht="45" customHeight="1">
      <c r="A204" s="4" t="s">
        <v>47</v>
      </c>
      <c r="B204" s="4" t="s">
        <v>368</v>
      </c>
      <c r="C204" s="4" t="s">
        <v>369</v>
      </c>
      <c r="D204" s="4" t="s">
        <v>318</v>
      </c>
      <c r="E204" s="4" t="s">
        <v>319</v>
      </c>
      <c r="F204" s="5"/>
    </row>
    <row r="205" spans="1:6" ht="45" customHeight="1">
      <c r="A205" s="6" t="s">
        <v>47</v>
      </c>
      <c r="B205" s="6" t="s">
        <v>370</v>
      </c>
      <c r="C205" s="6" t="s">
        <v>371</v>
      </c>
      <c r="D205" s="6" t="s">
        <v>318</v>
      </c>
      <c r="E205" s="6" t="s">
        <v>319</v>
      </c>
      <c r="F205" s="3"/>
    </row>
    <row r="206" spans="1:6" ht="45" customHeight="1">
      <c r="A206" s="4" t="s">
        <v>47</v>
      </c>
      <c r="B206" s="4" t="s">
        <v>272</v>
      </c>
      <c r="C206" s="4" t="s">
        <v>273</v>
      </c>
      <c r="D206" s="4" t="s">
        <v>318</v>
      </c>
      <c r="E206" s="4" t="s">
        <v>319</v>
      </c>
      <c r="F206" s="5"/>
    </row>
    <row r="207" spans="1:6" ht="45" customHeight="1">
      <c r="A207" s="6" t="s">
        <v>48</v>
      </c>
      <c r="B207" s="6" t="s">
        <v>372</v>
      </c>
      <c r="C207" s="6" t="s">
        <v>373</v>
      </c>
      <c r="D207" s="6" t="s">
        <v>318</v>
      </c>
      <c r="E207" s="6" t="s">
        <v>319</v>
      </c>
      <c r="F207" s="3"/>
    </row>
    <row r="208" spans="1:6" ht="45" customHeight="1">
      <c r="A208" s="4" t="s">
        <v>48</v>
      </c>
      <c r="B208" s="4" t="s">
        <v>62</v>
      </c>
      <c r="C208" s="4" t="s">
        <v>150</v>
      </c>
      <c r="D208" s="4" t="s">
        <v>318</v>
      </c>
      <c r="E208" s="4" t="s">
        <v>319</v>
      </c>
      <c r="F208" s="5"/>
    </row>
    <row r="209" spans="1:6" ht="45" customHeight="1">
      <c r="A209" s="6" t="s">
        <v>48</v>
      </c>
      <c r="B209" s="6" t="s">
        <v>316</v>
      </c>
      <c r="C209" s="6" t="s">
        <v>317</v>
      </c>
      <c r="D209" s="6" t="s">
        <v>318</v>
      </c>
      <c r="E209" s="6" t="s">
        <v>319</v>
      </c>
      <c r="F209" s="3"/>
    </row>
    <row r="210" spans="1:6" ht="45" customHeight="1">
      <c r="A210" s="4" t="s">
        <v>48</v>
      </c>
      <c r="B210" s="4" t="s">
        <v>151</v>
      </c>
      <c r="C210" s="4" t="s">
        <v>152</v>
      </c>
      <c r="D210" s="4" t="s">
        <v>318</v>
      </c>
      <c r="E210" s="4" t="s">
        <v>319</v>
      </c>
      <c r="F210" s="5"/>
    </row>
    <row r="211" spans="1:6" ht="45" customHeight="1">
      <c r="A211" s="6" t="s">
        <v>48</v>
      </c>
      <c r="B211" s="6" t="s">
        <v>322</v>
      </c>
      <c r="C211" s="6" t="s">
        <v>323</v>
      </c>
      <c r="D211" s="6" t="s">
        <v>318</v>
      </c>
      <c r="E211" s="6" t="s">
        <v>319</v>
      </c>
      <c r="F211" s="3"/>
    </row>
    <row r="212" spans="1:6" ht="45" customHeight="1">
      <c r="A212" s="4" t="s">
        <v>48</v>
      </c>
      <c r="B212" s="4" t="s">
        <v>184</v>
      </c>
      <c r="C212" s="4" t="s">
        <v>185</v>
      </c>
      <c r="D212" s="4" t="s">
        <v>318</v>
      </c>
      <c r="E212" s="4" t="s">
        <v>319</v>
      </c>
      <c r="F212" s="5"/>
    </row>
    <row r="213" spans="1:6" ht="45" customHeight="1">
      <c r="A213" s="6" t="s">
        <v>48</v>
      </c>
      <c r="B213" s="6" t="s">
        <v>186</v>
      </c>
      <c r="C213" s="6" t="s">
        <v>187</v>
      </c>
      <c r="D213" s="6" t="s">
        <v>318</v>
      </c>
      <c r="E213" s="6" t="s">
        <v>319</v>
      </c>
      <c r="F213" s="3"/>
    </row>
    <row r="214" spans="1:6" ht="45" customHeight="1">
      <c r="A214" s="4" t="s">
        <v>48</v>
      </c>
      <c r="B214" s="4" t="s">
        <v>188</v>
      </c>
      <c r="C214" s="4" t="s">
        <v>189</v>
      </c>
      <c r="D214" s="4" t="s">
        <v>318</v>
      </c>
      <c r="E214" s="4" t="s">
        <v>319</v>
      </c>
      <c r="F214" s="5"/>
    </row>
    <row r="215" spans="1:6" ht="45" customHeight="1">
      <c r="A215" s="6" t="s">
        <v>48</v>
      </c>
      <c r="B215" s="6" t="s">
        <v>362</v>
      </c>
      <c r="C215" s="6" t="s">
        <v>363</v>
      </c>
      <c r="D215" s="6" t="s">
        <v>318</v>
      </c>
      <c r="E215" s="6" t="s">
        <v>319</v>
      </c>
      <c r="F215" s="3"/>
    </row>
    <row r="216" spans="1:6" ht="45" customHeight="1">
      <c r="A216" s="4" t="s">
        <v>48</v>
      </c>
      <c r="B216" s="4" t="s">
        <v>374</v>
      </c>
      <c r="C216" s="4" t="s">
        <v>375</v>
      </c>
      <c r="D216" s="4" t="s">
        <v>318</v>
      </c>
      <c r="E216" s="4" t="s">
        <v>319</v>
      </c>
      <c r="F216" s="5"/>
    </row>
    <row r="217" spans="1:6" ht="45" customHeight="1">
      <c r="A217" s="6" t="s">
        <v>48</v>
      </c>
      <c r="B217" s="6" t="s">
        <v>376</v>
      </c>
      <c r="C217" s="6" t="s">
        <v>377</v>
      </c>
      <c r="D217" s="6" t="s">
        <v>318</v>
      </c>
      <c r="E217" s="6" t="s">
        <v>319</v>
      </c>
      <c r="F217" s="3"/>
    </row>
    <row r="218" spans="1:6" ht="45" customHeight="1">
      <c r="A218" s="4" t="s">
        <v>48</v>
      </c>
      <c r="B218" s="4" t="s">
        <v>378</v>
      </c>
      <c r="C218" s="4" t="s">
        <v>379</v>
      </c>
      <c r="D218" s="4" t="s">
        <v>318</v>
      </c>
      <c r="E218" s="4" t="s">
        <v>319</v>
      </c>
      <c r="F218" s="5"/>
    </row>
    <row r="219" spans="1:6" ht="45" customHeight="1">
      <c r="A219" s="6" t="s">
        <v>48</v>
      </c>
      <c r="B219" s="6" t="s">
        <v>380</v>
      </c>
      <c r="C219" s="6" t="s">
        <v>381</v>
      </c>
      <c r="D219" s="6" t="s">
        <v>318</v>
      </c>
      <c r="E219" s="6" t="s">
        <v>319</v>
      </c>
      <c r="F219" s="3"/>
    </row>
    <row r="220" spans="1:6" ht="45" customHeight="1">
      <c r="A220" s="4" t="s">
        <v>48</v>
      </c>
      <c r="B220" s="4" t="s">
        <v>382</v>
      </c>
      <c r="C220" s="4" t="s">
        <v>383</v>
      </c>
      <c r="D220" s="4" t="s">
        <v>318</v>
      </c>
      <c r="E220" s="4" t="s">
        <v>319</v>
      </c>
      <c r="F220" s="5"/>
    </row>
    <row r="221" spans="1:6" ht="45" customHeight="1">
      <c r="A221" s="6" t="s">
        <v>48</v>
      </c>
      <c r="B221" s="6" t="s">
        <v>384</v>
      </c>
      <c r="C221" s="6" t="s">
        <v>385</v>
      </c>
      <c r="D221" s="6" t="s">
        <v>318</v>
      </c>
      <c r="E221" s="6" t="s">
        <v>319</v>
      </c>
      <c r="F221" s="3"/>
    </row>
    <row r="222" spans="1:6" ht="45" customHeight="1">
      <c r="A222" s="4" t="s">
        <v>49</v>
      </c>
      <c r="B222" s="4" t="s">
        <v>386</v>
      </c>
      <c r="C222" s="4" t="s">
        <v>387</v>
      </c>
      <c r="D222" s="4" t="s">
        <v>318</v>
      </c>
      <c r="E222" s="4" t="s">
        <v>319</v>
      </c>
      <c r="F222" s="5"/>
    </row>
    <row r="223" spans="1:6" ht="45" customHeight="1">
      <c r="A223" s="6" t="s">
        <v>49</v>
      </c>
      <c r="B223" s="6" t="s">
        <v>62</v>
      </c>
      <c r="C223" s="6" t="s">
        <v>150</v>
      </c>
      <c r="D223" s="6" t="s">
        <v>318</v>
      </c>
      <c r="E223" s="6" t="s">
        <v>319</v>
      </c>
      <c r="F223" s="3"/>
    </row>
    <row r="224" spans="1:6" ht="45" customHeight="1">
      <c r="A224" s="4" t="s">
        <v>49</v>
      </c>
      <c r="B224" s="4" t="s">
        <v>316</v>
      </c>
      <c r="C224" s="4" t="s">
        <v>317</v>
      </c>
      <c r="D224" s="4" t="s">
        <v>318</v>
      </c>
      <c r="E224" s="4" t="s">
        <v>319</v>
      </c>
      <c r="F224" s="5"/>
    </row>
    <row r="225" spans="1:6" ht="45" customHeight="1">
      <c r="A225" s="6" t="s">
        <v>49</v>
      </c>
      <c r="B225" s="6" t="s">
        <v>151</v>
      </c>
      <c r="C225" s="6" t="s">
        <v>152</v>
      </c>
      <c r="D225" s="6" t="s">
        <v>318</v>
      </c>
      <c r="E225" s="6" t="s">
        <v>319</v>
      </c>
      <c r="F225" s="3"/>
    </row>
    <row r="226" spans="1:6" ht="45" customHeight="1">
      <c r="A226" s="4" t="s">
        <v>49</v>
      </c>
      <c r="B226" s="4" t="s">
        <v>184</v>
      </c>
      <c r="C226" s="4" t="s">
        <v>185</v>
      </c>
      <c r="D226" s="4" t="s">
        <v>318</v>
      </c>
      <c r="E226" s="4" t="s">
        <v>319</v>
      </c>
      <c r="F226" s="5"/>
    </row>
    <row r="227" spans="1:6" ht="45" customHeight="1">
      <c r="A227" s="6" t="s">
        <v>49</v>
      </c>
      <c r="B227" s="6" t="s">
        <v>388</v>
      </c>
      <c r="C227" s="6" t="s">
        <v>389</v>
      </c>
      <c r="D227" s="6" t="s">
        <v>318</v>
      </c>
      <c r="E227" s="6" t="s">
        <v>319</v>
      </c>
      <c r="F227" s="3"/>
    </row>
    <row r="228" spans="1:6" ht="45" customHeight="1">
      <c r="A228" s="4" t="s">
        <v>49</v>
      </c>
      <c r="B228" s="4" t="s">
        <v>374</v>
      </c>
      <c r="C228" s="4" t="s">
        <v>375</v>
      </c>
      <c r="D228" s="4" t="s">
        <v>318</v>
      </c>
      <c r="E228" s="4" t="s">
        <v>319</v>
      </c>
      <c r="F228" s="5"/>
    </row>
    <row r="229" spans="1:6" ht="45" customHeight="1">
      <c r="A229" s="6" t="s">
        <v>49</v>
      </c>
      <c r="B229" s="6" t="s">
        <v>390</v>
      </c>
      <c r="C229" s="6" t="s">
        <v>391</v>
      </c>
      <c r="D229" s="6" t="s">
        <v>318</v>
      </c>
      <c r="E229" s="6" t="s">
        <v>319</v>
      </c>
      <c r="F229" s="3"/>
    </row>
    <row r="230" spans="1:6" ht="45" customHeight="1">
      <c r="A230" s="4" t="s">
        <v>49</v>
      </c>
      <c r="B230" s="4" t="s">
        <v>392</v>
      </c>
      <c r="C230" s="4" t="s">
        <v>393</v>
      </c>
      <c r="D230" s="4" t="s">
        <v>318</v>
      </c>
      <c r="E230" s="4" t="s">
        <v>319</v>
      </c>
      <c r="F230" s="5"/>
    </row>
    <row r="231" spans="1:6" ht="45" customHeight="1">
      <c r="A231" s="6" t="s">
        <v>49</v>
      </c>
      <c r="B231" s="6" t="s">
        <v>394</v>
      </c>
      <c r="C231" s="6" t="s">
        <v>395</v>
      </c>
      <c r="D231" s="6" t="s">
        <v>318</v>
      </c>
      <c r="E231" s="6" t="s">
        <v>319</v>
      </c>
      <c r="F231" s="3"/>
    </row>
    <row r="232" spans="1:6" ht="45" customHeight="1">
      <c r="A232" s="4" t="s">
        <v>49</v>
      </c>
      <c r="B232" s="4" t="s">
        <v>396</v>
      </c>
      <c r="C232" s="4" t="s">
        <v>397</v>
      </c>
      <c r="D232" s="4" t="s">
        <v>318</v>
      </c>
      <c r="E232" s="4" t="s">
        <v>319</v>
      </c>
      <c r="F232" s="5"/>
    </row>
    <row r="233" spans="1:6" ht="45" customHeight="1">
      <c r="A233" s="6" t="s">
        <v>50</v>
      </c>
      <c r="B233" s="6" t="s">
        <v>398</v>
      </c>
      <c r="C233" s="6" t="s">
        <v>399</v>
      </c>
      <c r="D233" s="6" t="s">
        <v>318</v>
      </c>
      <c r="E233" s="6" t="s">
        <v>319</v>
      </c>
      <c r="F233" s="3"/>
    </row>
    <row r="234" spans="1:6" ht="45" customHeight="1">
      <c r="A234" s="4" t="s">
        <v>50</v>
      </c>
      <c r="B234" s="4" t="s">
        <v>62</v>
      </c>
      <c r="C234" s="4" t="s">
        <v>150</v>
      </c>
      <c r="D234" s="4" t="s">
        <v>318</v>
      </c>
      <c r="E234" s="4" t="s">
        <v>319</v>
      </c>
      <c r="F234" s="5"/>
    </row>
    <row r="235" spans="1:6" ht="45" customHeight="1">
      <c r="A235" s="6" t="s">
        <v>50</v>
      </c>
      <c r="B235" s="6" t="s">
        <v>316</v>
      </c>
      <c r="C235" s="6" t="s">
        <v>317</v>
      </c>
      <c r="D235" s="6" t="s">
        <v>318</v>
      </c>
      <c r="E235" s="6" t="s">
        <v>319</v>
      </c>
      <c r="F235" s="3"/>
    </row>
    <row r="236" spans="1:6" ht="45" customHeight="1">
      <c r="A236" s="4" t="s">
        <v>50</v>
      </c>
      <c r="B236" s="4" t="s">
        <v>320</v>
      </c>
      <c r="C236" s="4" t="s">
        <v>321</v>
      </c>
      <c r="D236" s="4" t="s">
        <v>318</v>
      </c>
      <c r="E236" s="4" t="s">
        <v>319</v>
      </c>
      <c r="F236" s="5"/>
    </row>
    <row r="237" spans="1:6" ht="45" customHeight="1">
      <c r="A237" s="6" t="s">
        <v>50</v>
      </c>
      <c r="B237" s="6" t="s">
        <v>154</v>
      </c>
      <c r="C237" s="6" t="s">
        <v>155</v>
      </c>
      <c r="D237" s="6" t="s">
        <v>318</v>
      </c>
      <c r="E237" s="6" t="s">
        <v>319</v>
      </c>
      <c r="F237" s="3"/>
    </row>
    <row r="238" spans="1:6" ht="45" customHeight="1">
      <c r="A238" s="4" t="s">
        <v>50</v>
      </c>
      <c r="B238" s="4" t="s">
        <v>158</v>
      </c>
      <c r="C238" s="4" t="s">
        <v>159</v>
      </c>
      <c r="D238" s="4" t="s">
        <v>318</v>
      </c>
      <c r="E238" s="4" t="s">
        <v>319</v>
      </c>
      <c r="F238" s="5"/>
    </row>
    <row r="239" spans="1:6" ht="45" customHeight="1">
      <c r="A239" s="6" t="s">
        <v>50</v>
      </c>
      <c r="B239" s="6" t="s">
        <v>400</v>
      </c>
      <c r="C239" s="6" t="s">
        <v>401</v>
      </c>
      <c r="D239" s="6" t="s">
        <v>318</v>
      </c>
      <c r="E239" s="6" t="s">
        <v>319</v>
      </c>
      <c r="F239" s="3"/>
    </row>
    <row r="240" spans="1:6" ht="45" customHeight="1">
      <c r="A240" s="4" t="s">
        <v>50</v>
      </c>
      <c r="B240" s="4" t="s">
        <v>402</v>
      </c>
      <c r="C240" s="4" t="s">
        <v>403</v>
      </c>
      <c r="D240" s="4" t="s">
        <v>318</v>
      </c>
      <c r="E240" s="4" t="s">
        <v>319</v>
      </c>
      <c r="F240" s="5"/>
    </row>
    <row r="241" spans="1:6" ht="45" customHeight="1">
      <c r="A241" s="6" t="s">
        <v>50</v>
      </c>
      <c r="B241" s="6" t="s">
        <v>404</v>
      </c>
      <c r="C241" s="6" t="s">
        <v>405</v>
      </c>
      <c r="D241" s="6" t="s">
        <v>318</v>
      </c>
      <c r="E241" s="6" t="s">
        <v>319</v>
      </c>
      <c r="F241" s="3"/>
    </row>
    <row r="242" spans="1:6" ht="45" customHeight="1">
      <c r="A242" s="4" t="s">
        <v>51</v>
      </c>
      <c r="B242" s="4" t="s">
        <v>406</v>
      </c>
      <c r="C242" s="4" t="s">
        <v>407</v>
      </c>
      <c r="D242" s="4" t="s">
        <v>142</v>
      </c>
      <c r="E242" s="4"/>
      <c r="F242" s="5"/>
    </row>
    <row r="243" spans="1:6" ht="45" customHeight="1">
      <c r="A243" s="6" t="s">
        <v>51</v>
      </c>
      <c r="B243" s="6" t="s">
        <v>408</v>
      </c>
      <c r="C243" s="6" t="s">
        <v>409</v>
      </c>
      <c r="D243" s="6" t="s">
        <v>142</v>
      </c>
      <c r="E243" s="6"/>
      <c r="F243" s="3"/>
    </row>
    <row r="244" spans="1:6" ht="45" customHeight="1">
      <c r="A244" s="4" t="s">
        <v>51</v>
      </c>
      <c r="B244" s="4" t="s">
        <v>410</v>
      </c>
      <c r="C244" s="4" t="s">
        <v>411</v>
      </c>
      <c r="D244" s="4" t="s">
        <v>142</v>
      </c>
      <c r="E244" s="4"/>
      <c r="F244" s="5"/>
    </row>
    <row r="245" spans="1:6" ht="45" customHeight="1">
      <c r="A245" s="6" t="s">
        <v>51</v>
      </c>
      <c r="B245" s="6" t="s">
        <v>412</v>
      </c>
      <c r="C245" s="6" t="s">
        <v>413</v>
      </c>
      <c r="D245" s="6" t="s">
        <v>142</v>
      </c>
      <c r="E245" s="6"/>
      <c r="F245" s="3"/>
    </row>
    <row r="246" spans="1:6" ht="45" customHeight="1">
      <c r="A246" s="4" t="s">
        <v>51</v>
      </c>
      <c r="B246" s="4" t="s">
        <v>414</v>
      </c>
      <c r="C246" s="4" t="s">
        <v>415</v>
      </c>
      <c r="D246" s="4" t="s">
        <v>142</v>
      </c>
      <c r="E246" s="4"/>
      <c r="F246" s="5"/>
    </row>
    <row r="247" spans="1:6" ht="45" customHeight="1">
      <c r="A247" s="6" t="s">
        <v>32</v>
      </c>
      <c r="B247" s="6" t="s">
        <v>416</v>
      </c>
      <c r="C247" s="6" t="s">
        <v>417</v>
      </c>
      <c r="D247" s="6" t="s">
        <v>142</v>
      </c>
      <c r="E247" s="6"/>
      <c r="F247" s="3"/>
    </row>
    <row r="248" spans="1:6" ht="45" customHeight="1">
      <c r="A248" s="4" t="s">
        <v>32</v>
      </c>
      <c r="B248" s="4" t="s">
        <v>418</v>
      </c>
      <c r="C248" s="4" t="s">
        <v>419</v>
      </c>
      <c r="D248" s="4" t="s">
        <v>142</v>
      </c>
      <c r="E248" s="4"/>
      <c r="F248" s="5"/>
    </row>
    <row r="249" spans="1:6" ht="45" customHeight="1">
      <c r="A249" s="6" t="s">
        <v>32</v>
      </c>
      <c r="B249" s="6" t="s">
        <v>420</v>
      </c>
      <c r="C249" s="6" t="s">
        <v>421</v>
      </c>
      <c r="D249" s="6" t="s">
        <v>142</v>
      </c>
      <c r="E249" s="6"/>
      <c r="F249" s="3"/>
    </row>
    <row r="250" spans="1:6" ht="45" customHeight="1">
      <c r="A250" s="4" t="s">
        <v>32</v>
      </c>
      <c r="B250" s="4" t="s">
        <v>422</v>
      </c>
      <c r="C250" s="4" t="s">
        <v>423</v>
      </c>
      <c r="D250" s="4" t="s">
        <v>142</v>
      </c>
      <c r="E250" s="4"/>
      <c r="F250" s="5"/>
    </row>
    <row r="251" spans="1:6" ht="45" customHeight="1">
      <c r="A251" s="6" t="s">
        <v>32</v>
      </c>
      <c r="B251" s="6" t="s">
        <v>424</v>
      </c>
      <c r="C251" s="6" t="s">
        <v>425</v>
      </c>
      <c r="D251" s="6" t="s">
        <v>142</v>
      </c>
      <c r="E251" s="6"/>
      <c r="F251" s="3"/>
    </row>
    <row r="252" spans="1:6" ht="45" customHeight="1">
      <c r="A252" s="4" t="s">
        <v>32</v>
      </c>
      <c r="B252" s="4" t="s">
        <v>426</v>
      </c>
      <c r="C252" s="4" t="s">
        <v>427</v>
      </c>
      <c r="D252" s="4" t="s">
        <v>142</v>
      </c>
      <c r="E252" s="4"/>
      <c r="F252" s="5"/>
    </row>
    <row r="253" spans="1:6" ht="45" customHeight="1">
      <c r="A253" s="6" t="s">
        <v>52</v>
      </c>
      <c r="B253" s="6" t="s">
        <v>428</v>
      </c>
      <c r="C253" s="6" t="s">
        <v>429</v>
      </c>
      <c r="D253" s="6" t="s">
        <v>142</v>
      </c>
      <c r="E253" s="6"/>
      <c r="F253" s="3"/>
    </row>
    <row r="254" spans="1:6" ht="45" customHeight="1">
      <c r="A254" s="4" t="s">
        <v>52</v>
      </c>
      <c r="B254" s="4" t="s">
        <v>430</v>
      </c>
      <c r="C254" s="4" t="s">
        <v>431</v>
      </c>
      <c r="D254" s="4" t="s">
        <v>142</v>
      </c>
      <c r="E254" s="4"/>
      <c r="F254" s="5"/>
    </row>
    <row r="255" spans="1:6" ht="45" customHeight="1">
      <c r="A255" s="6" t="s">
        <v>52</v>
      </c>
      <c r="B255" s="6" t="s">
        <v>414</v>
      </c>
      <c r="C255" s="6" t="s">
        <v>415</v>
      </c>
      <c r="D255" s="6" t="s">
        <v>142</v>
      </c>
      <c r="E255" s="6"/>
      <c r="F255" s="3"/>
    </row>
    <row r="256" spans="1:6" ht="45" customHeight="1">
      <c r="A256" s="4" t="s">
        <v>53</v>
      </c>
      <c r="B256" s="4" t="s">
        <v>432</v>
      </c>
      <c r="C256" s="4" t="s">
        <v>433</v>
      </c>
      <c r="D256" s="4" t="s">
        <v>142</v>
      </c>
      <c r="E256" s="4"/>
      <c r="F256" s="5"/>
    </row>
    <row r="257" spans="1:6" ht="45" customHeight="1">
      <c r="A257" s="6" t="s">
        <v>53</v>
      </c>
      <c r="B257" s="6" t="s">
        <v>408</v>
      </c>
      <c r="C257" s="6" t="s">
        <v>409</v>
      </c>
      <c r="D257" s="6" t="s">
        <v>142</v>
      </c>
      <c r="E257" s="6"/>
      <c r="F257" s="3"/>
    </row>
    <row r="258" spans="1:6" ht="45" customHeight="1">
      <c r="A258" s="4" t="s">
        <v>53</v>
      </c>
      <c r="B258" s="4" t="s">
        <v>434</v>
      </c>
      <c r="C258" s="4" t="s">
        <v>435</v>
      </c>
      <c r="D258" s="4" t="s">
        <v>142</v>
      </c>
      <c r="E258" s="4"/>
      <c r="F258" s="5"/>
    </row>
    <row r="259" spans="1:6" ht="45" customHeight="1">
      <c r="A259" s="6" t="s">
        <v>53</v>
      </c>
      <c r="B259" s="6" t="s">
        <v>436</v>
      </c>
      <c r="C259" s="6" t="s">
        <v>437</v>
      </c>
      <c r="D259" s="6" t="s">
        <v>142</v>
      </c>
      <c r="E259" s="6"/>
      <c r="F259" s="3"/>
    </row>
    <row r="260" spans="1:6" ht="45" customHeight="1">
      <c r="A260" s="4" t="s">
        <v>54</v>
      </c>
      <c r="B260" s="4" t="s">
        <v>438</v>
      </c>
      <c r="C260" s="4" t="s">
        <v>439</v>
      </c>
      <c r="D260" s="4" t="s">
        <v>142</v>
      </c>
      <c r="E260" s="4"/>
      <c r="F260" s="5"/>
    </row>
    <row r="261" spans="1:6" ht="45" customHeight="1">
      <c r="A261" s="6" t="s">
        <v>54</v>
      </c>
      <c r="B261" s="6" t="s">
        <v>440</v>
      </c>
      <c r="C261" s="6" t="s">
        <v>441</v>
      </c>
      <c r="D261" s="6" t="s">
        <v>142</v>
      </c>
      <c r="E261" s="6"/>
      <c r="F261" s="3"/>
    </row>
    <row r="262" spans="1:6" ht="45" customHeight="1">
      <c r="A262" s="4" t="s">
        <v>54</v>
      </c>
      <c r="B262" s="4" t="s">
        <v>442</v>
      </c>
      <c r="C262" s="4" t="s">
        <v>443</v>
      </c>
      <c r="D262" s="4" t="s">
        <v>142</v>
      </c>
      <c r="E262" s="4"/>
      <c r="F262" s="5"/>
    </row>
    <row r="263" spans="1:6" ht="45" customHeight="1">
      <c r="A263" s="6" t="s">
        <v>54</v>
      </c>
      <c r="B263" s="6" t="s">
        <v>3</v>
      </c>
      <c r="C263" s="6" t="s">
        <v>143</v>
      </c>
      <c r="D263" s="6" t="s">
        <v>142</v>
      </c>
      <c r="E263" s="6"/>
      <c r="F263" s="3"/>
    </row>
  </sheetData>
  <autoFilter ref="A3:F263" xr:uid="{00000000-0009-0000-0000-000002000000}"/>
  <mergeCells count="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showGridLines="0" workbookViewId="0">
      <pane ySplit="3" topLeftCell="A4" activePane="bottomLeft" state="frozen"/>
      <selection pane="bottomLeft"/>
    </sheetView>
  </sheetViews>
  <sheetFormatPr defaultRowHeight="15"/>
  <cols>
    <col min="1" max="1" width="24" customWidth="1"/>
    <col min="2" max="2" width="26" customWidth="1"/>
    <col min="3" max="3" width="14" customWidth="1"/>
    <col min="4" max="4" width="24" customWidth="1"/>
    <col min="5" max="5" width="25" customWidth="1"/>
    <col min="6" max="6" width="42" customWidth="1"/>
  </cols>
  <sheetData>
    <row r="1" spans="1:6" ht="26.1" customHeight="1">
      <c r="A1" s="16" t="s">
        <v>444</v>
      </c>
      <c r="B1" s="17"/>
      <c r="C1" s="17"/>
      <c r="D1" s="17"/>
      <c r="E1" s="17"/>
      <c r="F1" s="17"/>
    </row>
    <row r="3" spans="1:6">
      <c r="A3" s="2" t="s">
        <v>416</v>
      </c>
      <c r="B3" s="2" t="s">
        <v>418</v>
      </c>
      <c r="C3" s="2" t="s">
        <v>420</v>
      </c>
      <c r="D3" s="2" t="s">
        <v>422</v>
      </c>
      <c r="E3" s="2" t="s">
        <v>424</v>
      </c>
      <c r="F3" s="2" t="s">
        <v>426</v>
      </c>
    </row>
    <row r="4" spans="1:6" ht="45" customHeight="1">
      <c r="A4" s="4" t="s">
        <v>33</v>
      </c>
      <c r="B4" s="4" t="s">
        <v>151</v>
      </c>
      <c r="C4" s="4" t="s">
        <v>445</v>
      </c>
      <c r="D4" s="4" t="s">
        <v>37</v>
      </c>
      <c r="E4" s="4" t="s">
        <v>151</v>
      </c>
      <c r="F4" s="4" t="s">
        <v>446</v>
      </c>
    </row>
    <row r="5" spans="1:6" ht="45" customHeight="1">
      <c r="A5" s="6" t="s">
        <v>35</v>
      </c>
      <c r="B5" s="6" t="s">
        <v>184</v>
      </c>
      <c r="C5" s="6" t="s">
        <v>445</v>
      </c>
      <c r="D5" s="6" t="s">
        <v>37</v>
      </c>
      <c r="E5" s="6" t="s">
        <v>184</v>
      </c>
      <c r="F5" s="6" t="s">
        <v>447</v>
      </c>
    </row>
    <row r="6" spans="1:6" ht="45" customHeight="1">
      <c r="A6" s="4" t="s">
        <v>33</v>
      </c>
      <c r="B6" s="4" t="s">
        <v>151</v>
      </c>
      <c r="C6" s="4" t="s">
        <v>445</v>
      </c>
      <c r="D6" s="4" t="s">
        <v>40</v>
      </c>
      <c r="E6" s="4" t="s">
        <v>151</v>
      </c>
      <c r="F6" s="4" t="s">
        <v>448</v>
      </c>
    </row>
    <row r="7" spans="1:6" ht="45" customHeight="1">
      <c r="A7" s="6" t="s">
        <v>40</v>
      </c>
      <c r="B7" s="6" t="s">
        <v>230</v>
      </c>
      <c r="C7" s="6" t="s">
        <v>445</v>
      </c>
      <c r="D7" s="6" t="s">
        <v>41</v>
      </c>
      <c r="E7" s="6" t="s">
        <v>230</v>
      </c>
      <c r="F7" s="6" t="s">
        <v>449</v>
      </c>
    </row>
    <row r="8" spans="1:6" ht="45" customHeight="1">
      <c r="A8" s="4" t="s">
        <v>41</v>
      </c>
      <c r="B8" s="4" t="s">
        <v>248</v>
      </c>
      <c r="C8" s="4" t="s">
        <v>445</v>
      </c>
      <c r="D8" s="4" t="s">
        <v>42</v>
      </c>
      <c r="E8" s="4" t="s">
        <v>248</v>
      </c>
      <c r="F8" s="4" t="s">
        <v>450</v>
      </c>
    </row>
    <row r="9" spans="1:6" ht="45" customHeight="1">
      <c r="A9" s="6" t="s">
        <v>40</v>
      </c>
      <c r="B9" s="6" t="s">
        <v>230</v>
      </c>
      <c r="C9" s="6" t="s">
        <v>445</v>
      </c>
      <c r="D9" s="6" t="s">
        <v>43</v>
      </c>
      <c r="E9" s="6" t="s">
        <v>230</v>
      </c>
      <c r="F9" s="6" t="s">
        <v>451</v>
      </c>
    </row>
    <row r="10" spans="1:6" ht="45" customHeight="1">
      <c r="A10" s="4" t="s">
        <v>43</v>
      </c>
      <c r="B10" s="4" t="s">
        <v>300</v>
      </c>
      <c r="C10" s="4" t="s">
        <v>445</v>
      </c>
      <c r="D10" s="4" t="s">
        <v>45</v>
      </c>
      <c r="E10" s="4" t="s">
        <v>300</v>
      </c>
      <c r="F10" s="4" t="s">
        <v>452</v>
      </c>
    </row>
    <row r="11" spans="1:6" ht="45" customHeight="1">
      <c r="A11" s="6" t="s">
        <v>45</v>
      </c>
      <c r="B11" s="6" t="s">
        <v>336</v>
      </c>
      <c r="C11" s="6" t="s">
        <v>453</v>
      </c>
      <c r="D11" s="6" t="s">
        <v>46</v>
      </c>
      <c r="E11" s="6" t="s">
        <v>336</v>
      </c>
      <c r="F11" s="6" t="s">
        <v>454</v>
      </c>
    </row>
    <row r="12" spans="1:6" ht="45" customHeight="1">
      <c r="A12" s="4" t="s">
        <v>46</v>
      </c>
      <c r="B12" s="4" t="s">
        <v>344</v>
      </c>
      <c r="C12" s="4" t="s">
        <v>445</v>
      </c>
      <c r="D12" s="4" t="s">
        <v>47</v>
      </c>
      <c r="E12" s="4" t="s">
        <v>370</v>
      </c>
      <c r="F12" s="4" t="s">
        <v>455</v>
      </c>
    </row>
    <row r="13" spans="1:6" ht="45" customHeight="1">
      <c r="A13" s="6" t="s">
        <v>47</v>
      </c>
      <c r="B13" s="6" t="s">
        <v>360</v>
      </c>
      <c r="C13" s="6" t="s">
        <v>453</v>
      </c>
      <c r="D13" s="6" t="s">
        <v>48</v>
      </c>
      <c r="E13" s="6" t="s">
        <v>456</v>
      </c>
      <c r="F13" s="6" t="s">
        <v>457</v>
      </c>
    </row>
    <row r="14" spans="1:6" ht="45" customHeight="1">
      <c r="A14" s="4" t="s">
        <v>38</v>
      </c>
      <c r="B14" s="4" t="s">
        <v>216</v>
      </c>
      <c r="C14" s="4" t="s">
        <v>445</v>
      </c>
      <c r="D14" s="4" t="s">
        <v>39</v>
      </c>
      <c r="E14" s="4" t="s">
        <v>216</v>
      </c>
      <c r="F14" s="4" t="s">
        <v>458</v>
      </c>
    </row>
    <row r="15" spans="1:6" ht="45" customHeight="1">
      <c r="A15" s="6" t="s">
        <v>39</v>
      </c>
      <c r="B15" s="6" t="s">
        <v>184</v>
      </c>
      <c r="C15" s="6" t="s">
        <v>459</v>
      </c>
      <c r="D15" s="6" t="s">
        <v>35</v>
      </c>
      <c r="E15" s="6" t="s">
        <v>184</v>
      </c>
      <c r="F15" s="6" t="s">
        <v>460</v>
      </c>
    </row>
    <row r="16" spans="1:6" ht="45" customHeight="1">
      <c r="A16" s="4" t="s">
        <v>44</v>
      </c>
      <c r="B16" s="4" t="s">
        <v>316</v>
      </c>
      <c r="C16" s="4" t="s">
        <v>445</v>
      </c>
      <c r="D16" s="4" t="s">
        <v>45</v>
      </c>
      <c r="E16" s="4" t="s">
        <v>316</v>
      </c>
      <c r="F16" s="4" t="s">
        <v>461</v>
      </c>
    </row>
  </sheetData>
  <autoFilter ref="A3:F16" xr:uid="{00000000-0009-0000-0000-000003000000}"/>
  <mergeCells count="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
  <sheetViews>
    <sheetView showGridLines="0" workbookViewId="0">
      <pane ySplit="3" topLeftCell="D4" activePane="bottomLeft" state="frozen"/>
      <selection pane="bottomLeft"/>
    </sheetView>
  </sheetViews>
  <sheetFormatPr defaultRowHeight="15"/>
  <cols>
    <col min="1" max="2" width="45" customWidth="1"/>
    <col min="3" max="3" width="12" customWidth="1"/>
    <col min="4" max="4" width="26" customWidth="1"/>
    <col min="5" max="5" width="45" customWidth="1"/>
    <col min="6" max="6" width="12" customWidth="1"/>
    <col min="7" max="7" width="24" customWidth="1"/>
    <col min="8" max="8" width="40" customWidth="1"/>
    <col min="9" max="9" width="26" customWidth="1"/>
    <col min="10" max="10" width="16" customWidth="1"/>
    <col min="11" max="11" width="45" customWidth="1"/>
    <col min="12" max="12" width="24" customWidth="1"/>
  </cols>
  <sheetData>
    <row r="1" spans="1:12" ht="26.1" customHeight="1">
      <c r="A1" s="16" t="s">
        <v>462</v>
      </c>
      <c r="B1" s="17"/>
      <c r="C1" s="17"/>
      <c r="D1" s="17"/>
      <c r="E1" s="17"/>
      <c r="F1" s="17"/>
      <c r="G1" s="17"/>
      <c r="H1" s="17"/>
      <c r="I1" s="17"/>
      <c r="J1" s="17"/>
      <c r="K1" s="17"/>
      <c r="L1" s="17"/>
    </row>
    <row r="3" spans="1:12">
      <c r="A3" s="2" t="s">
        <v>151</v>
      </c>
      <c r="B3" s="2" t="s">
        <v>62</v>
      </c>
      <c r="C3" s="2" t="s">
        <v>154</v>
      </c>
      <c r="D3" s="2" t="s">
        <v>156</v>
      </c>
      <c r="E3" s="2" t="s">
        <v>158</v>
      </c>
      <c r="F3" s="2" t="s">
        <v>160</v>
      </c>
      <c r="G3" s="2" t="s">
        <v>162</v>
      </c>
      <c r="H3" s="2" t="s">
        <v>164</v>
      </c>
      <c r="I3" s="2" t="s">
        <v>166</v>
      </c>
      <c r="J3" s="2" t="s">
        <v>168</v>
      </c>
      <c r="K3" s="2" t="s">
        <v>61</v>
      </c>
      <c r="L3" s="2" t="s">
        <v>170</v>
      </c>
    </row>
    <row r="4" spans="1:12" ht="45" customHeight="1">
      <c r="A4" s="9" t="s">
        <v>463</v>
      </c>
      <c r="B4" s="9" t="s">
        <v>153</v>
      </c>
      <c r="C4" s="9" t="s">
        <v>464</v>
      </c>
      <c r="D4" s="9" t="s">
        <v>465</v>
      </c>
      <c r="E4" s="9" t="s">
        <v>466</v>
      </c>
      <c r="F4" s="9" t="s">
        <v>467</v>
      </c>
      <c r="G4" s="9" t="s">
        <v>468</v>
      </c>
      <c r="H4" s="9" t="s">
        <v>469</v>
      </c>
      <c r="I4" s="9">
        <v>4</v>
      </c>
      <c r="J4" s="9" t="s">
        <v>470</v>
      </c>
      <c r="K4" s="9" t="s">
        <v>75</v>
      </c>
      <c r="L4" s="9" t="s">
        <v>465</v>
      </c>
    </row>
    <row r="5" spans="1:12" ht="45" customHeight="1">
      <c r="A5" s="10" t="s">
        <v>471</v>
      </c>
      <c r="B5" s="10" t="s">
        <v>153</v>
      </c>
      <c r="C5" s="10" t="s">
        <v>464</v>
      </c>
      <c r="D5" s="10" t="s">
        <v>472</v>
      </c>
      <c r="E5" s="10" t="s">
        <v>473</v>
      </c>
      <c r="F5" s="10" t="s">
        <v>467</v>
      </c>
      <c r="G5" s="10" t="s">
        <v>468</v>
      </c>
      <c r="H5" s="10" t="s">
        <v>469</v>
      </c>
      <c r="I5" s="10">
        <v>4</v>
      </c>
      <c r="J5" s="10" t="s">
        <v>474</v>
      </c>
      <c r="K5" s="10" t="s">
        <v>75</v>
      </c>
      <c r="L5" s="10" t="s">
        <v>472</v>
      </c>
    </row>
    <row r="6" spans="1:12" ht="45" customHeight="1">
      <c r="A6" s="9" t="s">
        <v>475</v>
      </c>
      <c r="B6" s="9" t="s">
        <v>153</v>
      </c>
      <c r="C6" s="9" t="s">
        <v>464</v>
      </c>
      <c r="D6" s="9" t="s">
        <v>476</v>
      </c>
      <c r="E6" s="9" t="s">
        <v>477</v>
      </c>
      <c r="F6" s="9" t="s">
        <v>478</v>
      </c>
      <c r="G6" s="9" t="s">
        <v>479</v>
      </c>
      <c r="H6" s="9" t="s">
        <v>469</v>
      </c>
      <c r="I6" s="9">
        <v>4</v>
      </c>
      <c r="J6" s="9" t="s">
        <v>480</v>
      </c>
      <c r="K6" s="9" t="s">
        <v>75</v>
      </c>
      <c r="L6" s="9" t="s">
        <v>476</v>
      </c>
    </row>
    <row r="7" spans="1:12" ht="45" customHeight="1">
      <c r="A7" s="10" t="s">
        <v>481</v>
      </c>
      <c r="B7" s="10" t="s">
        <v>153</v>
      </c>
      <c r="C7" s="10" t="s">
        <v>482</v>
      </c>
      <c r="D7" s="10" t="s">
        <v>483</v>
      </c>
      <c r="E7" s="10" t="s">
        <v>484</v>
      </c>
      <c r="F7" s="10" t="s">
        <v>485</v>
      </c>
      <c r="G7" s="10" t="s">
        <v>468</v>
      </c>
      <c r="H7" s="10" t="s">
        <v>469</v>
      </c>
      <c r="I7" s="10">
        <v>4</v>
      </c>
      <c r="J7" s="10" t="s">
        <v>485</v>
      </c>
      <c r="K7" s="10" t="s">
        <v>85</v>
      </c>
      <c r="L7" s="10" t="s">
        <v>486</v>
      </c>
    </row>
    <row r="8" spans="1:12" ht="45" customHeight="1">
      <c r="A8" s="9" t="s">
        <v>487</v>
      </c>
      <c r="B8" s="9" t="s">
        <v>153</v>
      </c>
      <c r="C8" s="9" t="s">
        <v>482</v>
      </c>
      <c r="D8" s="9" t="s">
        <v>483</v>
      </c>
      <c r="E8" s="9" t="s">
        <v>488</v>
      </c>
      <c r="F8" s="9" t="s">
        <v>489</v>
      </c>
      <c r="G8" s="9" t="s">
        <v>468</v>
      </c>
      <c r="H8" s="9" t="s">
        <v>469</v>
      </c>
      <c r="I8" s="9">
        <v>4</v>
      </c>
      <c r="J8" s="9" t="s">
        <v>489</v>
      </c>
      <c r="K8" s="9" t="s">
        <v>85</v>
      </c>
      <c r="L8" s="9" t="s">
        <v>486</v>
      </c>
    </row>
    <row r="9" spans="1:12" ht="45" customHeight="1">
      <c r="A9" s="10" t="s">
        <v>490</v>
      </c>
      <c r="B9" s="10" t="s">
        <v>153</v>
      </c>
      <c r="C9" s="10" t="s">
        <v>482</v>
      </c>
      <c r="D9" s="10" t="s">
        <v>483</v>
      </c>
      <c r="E9" s="10" t="s">
        <v>491</v>
      </c>
      <c r="F9" s="10" t="s">
        <v>485</v>
      </c>
      <c r="G9" s="10" t="s">
        <v>468</v>
      </c>
      <c r="H9" s="10" t="s">
        <v>469</v>
      </c>
      <c r="I9" s="10">
        <v>4</v>
      </c>
      <c r="J9" s="10" t="s">
        <v>485</v>
      </c>
      <c r="K9" s="10" t="s">
        <v>85</v>
      </c>
      <c r="L9" s="10" t="s">
        <v>486</v>
      </c>
    </row>
    <row r="10" spans="1:12" ht="45" customHeight="1">
      <c r="A10" s="9" t="s">
        <v>492</v>
      </c>
      <c r="B10" s="9" t="s">
        <v>153</v>
      </c>
      <c r="C10" s="9" t="s">
        <v>493</v>
      </c>
      <c r="D10" s="9" t="s">
        <v>494</v>
      </c>
      <c r="E10" s="9" t="s">
        <v>495</v>
      </c>
      <c r="F10" s="9" t="s">
        <v>485</v>
      </c>
      <c r="G10" s="9" t="s">
        <v>468</v>
      </c>
      <c r="H10" s="9" t="s">
        <v>469</v>
      </c>
      <c r="I10" s="9">
        <v>4</v>
      </c>
      <c r="J10" s="9" t="s">
        <v>485</v>
      </c>
      <c r="K10" s="9" t="s">
        <v>101</v>
      </c>
      <c r="L10" s="9" t="s">
        <v>496</v>
      </c>
    </row>
    <row r="11" spans="1:12" ht="45" customHeight="1">
      <c r="A11" s="10" t="s">
        <v>497</v>
      </c>
      <c r="B11" s="10" t="s">
        <v>153</v>
      </c>
      <c r="C11" s="10" t="s">
        <v>493</v>
      </c>
      <c r="D11" s="10" t="s">
        <v>494</v>
      </c>
      <c r="E11" s="10" t="s">
        <v>498</v>
      </c>
      <c r="F11" s="10" t="s">
        <v>499</v>
      </c>
      <c r="G11" s="10" t="s">
        <v>479</v>
      </c>
      <c r="H11" s="10" t="s">
        <v>469</v>
      </c>
      <c r="I11" s="10">
        <v>4</v>
      </c>
      <c r="J11" s="10" t="s">
        <v>499</v>
      </c>
      <c r="K11" s="10" t="s">
        <v>101</v>
      </c>
      <c r="L11" s="10" t="s">
        <v>496</v>
      </c>
    </row>
    <row r="12" spans="1:12" ht="45" customHeight="1">
      <c r="A12" s="9" t="s">
        <v>500</v>
      </c>
      <c r="B12" s="9" t="s">
        <v>153</v>
      </c>
      <c r="C12" s="9" t="s">
        <v>493</v>
      </c>
      <c r="D12" s="9" t="s">
        <v>494</v>
      </c>
      <c r="E12" s="9" t="s">
        <v>501</v>
      </c>
      <c r="F12" s="9" t="s">
        <v>489</v>
      </c>
      <c r="G12" s="9" t="s">
        <v>468</v>
      </c>
      <c r="H12" s="9" t="s">
        <v>469</v>
      </c>
      <c r="I12" s="9">
        <v>4</v>
      </c>
      <c r="J12" s="9" t="s">
        <v>489</v>
      </c>
      <c r="K12" s="9" t="s">
        <v>101</v>
      </c>
      <c r="L12" s="9" t="s">
        <v>496</v>
      </c>
    </row>
  </sheetData>
  <autoFilter ref="A3:L12" xr:uid="{00000000-0009-0000-0000-000004000000}"/>
  <mergeCells count="1">
    <mergeCell ref="A1:L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5"/>
  <sheetViews>
    <sheetView showGridLines="0" workbookViewId="0">
      <pane ySplit="3" topLeftCell="A7" activePane="bottomLeft" state="frozen"/>
      <selection pane="bottomLeft"/>
    </sheetView>
  </sheetViews>
  <sheetFormatPr defaultRowHeight="15"/>
  <cols>
    <col min="1" max="3" width="45" customWidth="1"/>
    <col min="4" max="4" width="18" customWidth="1"/>
    <col min="5" max="10" width="45" customWidth="1"/>
  </cols>
  <sheetData>
    <row r="1" spans="1:10" ht="26.1" customHeight="1">
      <c r="A1" s="16" t="s">
        <v>502</v>
      </c>
      <c r="B1" s="17"/>
      <c r="C1" s="17"/>
      <c r="D1" s="17"/>
      <c r="E1" s="17"/>
      <c r="F1" s="17"/>
      <c r="G1" s="17"/>
      <c r="H1" s="17"/>
      <c r="I1" s="17"/>
      <c r="J1" s="17"/>
    </row>
    <row r="3" spans="1:10">
      <c r="A3" s="2" t="s">
        <v>151</v>
      </c>
      <c r="B3" s="2" t="s">
        <v>158</v>
      </c>
      <c r="C3" s="2" t="s">
        <v>61</v>
      </c>
      <c r="D3" s="2" t="s">
        <v>172</v>
      </c>
      <c r="E3" s="2" t="s">
        <v>174</v>
      </c>
      <c r="F3" s="2" t="s">
        <v>176</v>
      </c>
      <c r="G3" s="2" t="s">
        <v>178</v>
      </c>
      <c r="H3" s="2" t="s">
        <v>180</v>
      </c>
      <c r="I3" s="2" t="s">
        <v>182</v>
      </c>
      <c r="J3" s="2" t="s">
        <v>62</v>
      </c>
    </row>
    <row r="4" spans="1:10" ht="45" customHeight="1">
      <c r="A4" s="9" t="s">
        <v>463</v>
      </c>
      <c r="B4" s="9" t="s">
        <v>466</v>
      </c>
      <c r="C4" s="9" t="s">
        <v>68</v>
      </c>
      <c r="D4" s="9" t="s">
        <v>503</v>
      </c>
      <c r="E4" s="9" t="s">
        <v>504</v>
      </c>
      <c r="F4" s="9" t="s">
        <v>505</v>
      </c>
      <c r="G4" s="9" t="s">
        <v>506</v>
      </c>
      <c r="H4" s="9" t="s">
        <v>507</v>
      </c>
      <c r="I4" s="9" t="s">
        <v>508</v>
      </c>
      <c r="J4" s="9" t="s">
        <v>509</v>
      </c>
    </row>
    <row r="5" spans="1:10" ht="45" customHeight="1">
      <c r="A5" s="10" t="s">
        <v>471</v>
      </c>
      <c r="B5" s="10" t="s">
        <v>473</v>
      </c>
      <c r="C5" s="10" t="s">
        <v>68</v>
      </c>
      <c r="D5" s="10" t="s">
        <v>503</v>
      </c>
      <c r="E5" s="10" t="s">
        <v>510</v>
      </c>
      <c r="F5" s="10" t="s">
        <v>511</v>
      </c>
      <c r="G5" s="10" t="s">
        <v>512</v>
      </c>
      <c r="H5" s="10" t="s">
        <v>513</v>
      </c>
      <c r="I5" s="10" t="s">
        <v>508</v>
      </c>
      <c r="J5" s="10" t="s">
        <v>509</v>
      </c>
    </row>
    <row r="6" spans="1:10" ht="45" customHeight="1">
      <c r="A6" s="9" t="s">
        <v>475</v>
      </c>
      <c r="B6" s="9" t="s">
        <v>477</v>
      </c>
      <c r="C6" s="9" t="s">
        <v>68</v>
      </c>
      <c r="D6" s="9" t="s">
        <v>503</v>
      </c>
      <c r="E6" s="9" t="s">
        <v>514</v>
      </c>
      <c r="F6" s="9" t="s">
        <v>515</v>
      </c>
      <c r="G6" s="9" t="s">
        <v>516</v>
      </c>
      <c r="H6" s="9" t="s">
        <v>517</v>
      </c>
      <c r="I6" s="9" t="s">
        <v>508</v>
      </c>
      <c r="J6" s="9" t="s">
        <v>509</v>
      </c>
    </row>
    <row r="7" spans="1:10" ht="45" customHeight="1">
      <c r="A7" s="10" t="s">
        <v>481</v>
      </c>
      <c r="B7" s="10" t="s">
        <v>484</v>
      </c>
      <c r="C7" s="10" t="s">
        <v>80</v>
      </c>
      <c r="D7" s="10" t="s">
        <v>503</v>
      </c>
      <c r="E7" s="10" t="s">
        <v>518</v>
      </c>
      <c r="F7" s="10" t="s">
        <v>519</v>
      </c>
      <c r="G7" s="10" t="s">
        <v>520</v>
      </c>
      <c r="H7" s="10" t="s">
        <v>521</v>
      </c>
      <c r="I7" s="10" t="s">
        <v>508</v>
      </c>
      <c r="J7" s="10" t="s">
        <v>509</v>
      </c>
    </row>
    <row r="8" spans="1:10" ht="45" customHeight="1">
      <c r="A8" s="9" t="s">
        <v>487</v>
      </c>
      <c r="B8" s="9" t="s">
        <v>488</v>
      </c>
      <c r="C8" s="9" t="s">
        <v>80</v>
      </c>
      <c r="D8" s="9" t="s">
        <v>503</v>
      </c>
      <c r="E8" s="9" t="s">
        <v>522</v>
      </c>
      <c r="F8" s="9" t="s">
        <v>523</v>
      </c>
      <c r="G8" s="9" t="s">
        <v>524</v>
      </c>
      <c r="H8" s="9" t="s">
        <v>525</v>
      </c>
      <c r="I8" s="9" t="s">
        <v>508</v>
      </c>
      <c r="J8" s="9" t="s">
        <v>509</v>
      </c>
    </row>
    <row r="9" spans="1:10" ht="45" customHeight="1">
      <c r="A9" s="10" t="s">
        <v>490</v>
      </c>
      <c r="B9" s="10" t="s">
        <v>491</v>
      </c>
      <c r="C9" s="10" t="s">
        <v>80</v>
      </c>
      <c r="D9" s="10" t="s">
        <v>503</v>
      </c>
      <c r="E9" s="10" t="s">
        <v>526</v>
      </c>
      <c r="F9" s="10" t="s">
        <v>527</v>
      </c>
      <c r="G9" s="10" t="s">
        <v>528</v>
      </c>
      <c r="H9" s="10" t="s">
        <v>529</v>
      </c>
      <c r="I9" s="10" t="s">
        <v>508</v>
      </c>
      <c r="J9" s="10" t="s">
        <v>509</v>
      </c>
    </row>
    <row r="10" spans="1:10" ht="45" customHeight="1">
      <c r="A10" s="9" t="s">
        <v>497</v>
      </c>
      <c r="B10" s="9" t="s">
        <v>498</v>
      </c>
      <c r="C10" s="9" t="s">
        <v>107</v>
      </c>
      <c r="D10" s="9" t="s">
        <v>530</v>
      </c>
      <c r="E10" s="9" t="s">
        <v>531</v>
      </c>
      <c r="F10" s="9" t="s">
        <v>532</v>
      </c>
      <c r="G10" s="9" t="s">
        <v>533</v>
      </c>
      <c r="H10" s="9" t="s">
        <v>534</v>
      </c>
      <c r="I10" s="9" t="s">
        <v>508</v>
      </c>
      <c r="J10" s="9" t="s">
        <v>509</v>
      </c>
    </row>
    <row r="11" spans="1:10" ht="45" customHeight="1">
      <c r="A11" s="10" t="s">
        <v>500</v>
      </c>
      <c r="B11" s="10" t="s">
        <v>501</v>
      </c>
      <c r="C11" s="10" t="s">
        <v>101</v>
      </c>
      <c r="D11" s="10" t="s">
        <v>535</v>
      </c>
      <c r="E11" s="10" t="s">
        <v>536</v>
      </c>
      <c r="F11" s="10" t="s">
        <v>537</v>
      </c>
      <c r="G11" s="10" t="s">
        <v>538</v>
      </c>
      <c r="H11" s="10" t="s">
        <v>539</v>
      </c>
      <c r="I11" s="10" t="s">
        <v>540</v>
      </c>
      <c r="J11" s="10" t="s">
        <v>509</v>
      </c>
    </row>
    <row r="12" spans="1:10" ht="45" customHeight="1">
      <c r="A12" s="9" t="s">
        <v>492</v>
      </c>
      <c r="B12" s="9" t="s">
        <v>495</v>
      </c>
      <c r="C12" s="9" t="s">
        <v>101</v>
      </c>
      <c r="D12" s="9" t="s">
        <v>535</v>
      </c>
      <c r="E12" s="9" t="s">
        <v>541</v>
      </c>
      <c r="F12" s="9" t="s">
        <v>542</v>
      </c>
      <c r="G12" s="9" t="s">
        <v>543</v>
      </c>
      <c r="H12" s="9" t="s">
        <v>539</v>
      </c>
      <c r="I12" s="9" t="s">
        <v>540</v>
      </c>
      <c r="J12" s="9" t="s">
        <v>509</v>
      </c>
    </row>
    <row r="13" spans="1:10" ht="45" customHeight="1">
      <c r="A13" s="10" t="s">
        <v>544</v>
      </c>
      <c r="B13" s="10" t="s">
        <v>545</v>
      </c>
      <c r="C13" s="10" t="s">
        <v>97</v>
      </c>
      <c r="D13" s="10" t="s">
        <v>530</v>
      </c>
      <c r="E13" s="10" t="s">
        <v>546</v>
      </c>
      <c r="F13" s="10" t="s">
        <v>547</v>
      </c>
      <c r="G13" s="10"/>
      <c r="H13" s="10" t="s">
        <v>548</v>
      </c>
      <c r="I13" s="10" t="s">
        <v>549</v>
      </c>
      <c r="J13" s="10" t="s">
        <v>509</v>
      </c>
    </row>
    <row r="14" spans="1:10" ht="45" customHeight="1">
      <c r="A14" s="9" t="s">
        <v>550</v>
      </c>
      <c r="B14" s="9" t="s">
        <v>551</v>
      </c>
      <c r="C14" s="9" t="s">
        <v>113</v>
      </c>
      <c r="D14" s="9" t="s">
        <v>530</v>
      </c>
      <c r="E14" s="9" t="s">
        <v>552</v>
      </c>
      <c r="F14" s="9" t="s">
        <v>553</v>
      </c>
      <c r="G14" s="9" t="s">
        <v>554</v>
      </c>
      <c r="H14" s="9" t="s">
        <v>555</v>
      </c>
      <c r="I14" s="9" t="s">
        <v>549</v>
      </c>
      <c r="J14" s="9" t="s">
        <v>509</v>
      </c>
    </row>
    <row r="15" spans="1:10" ht="45" customHeight="1">
      <c r="A15" s="10" t="s">
        <v>556</v>
      </c>
      <c r="B15" s="10" t="s">
        <v>557</v>
      </c>
      <c r="C15" s="10" t="s">
        <v>117</v>
      </c>
      <c r="D15" s="10" t="s">
        <v>530</v>
      </c>
      <c r="E15" s="10" t="s">
        <v>558</v>
      </c>
      <c r="F15" s="10" t="s">
        <v>559</v>
      </c>
      <c r="G15" s="10" t="s">
        <v>560</v>
      </c>
      <c r="H15" s="10" t="s">
        <v>561</v>
      </c>
      <c r="I15" s="10" t="s">
        <v>549</v>
      </c>
      <c r="J15" s="10" t="s">
        <v>509</v>
      </c>
    </row>
  </sheetData>
  <autoFilter ref="A3:J15" xr:uid="{00000000-0009-0000-0000-000005000000}"/>
  <mergeCells count="1">
    <mergeCell ref="A1:J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1"/>
  <sheetViews>
    <sheetView showGridLines="0" workbookViewId="0">
      <pane ySplit="3" topLeftCell="G4" activePane="bottomLeft" state="frozen"/>
      <selection pane="bottomLeft" activeCell="K5" sqref="K5"/>
    </sheetView>
  </sheetViews>
  <sheetFormatPr defaultRowHeight="15"/>
  <cols>
    <col min="1" max="2" width="45" customWidth="1"/>
    <col min="3" max="3" width="12" customWidth="1"/>
    <col min="4" max="4" width="45" customWidth="1"/>
    <col min="5" max="5" width="23" customWidth="1"/>
    <col min="6" max="11" width="45" customWidth="1"/>
    <col min="12" max="12" width="19" customWidth="1"/>
  </cols>
  <sheetData>
    <row r="1" spans="1:12" ht="26.1" customHeight="1">
      <c r="A1" s="16" t="s">
        <v>562</v>
      </c>
      <c r="B1" s="17"/>
      <c r="C1" s="17"/>
      <c r="D1" s="17"/>
      <c r="E1" s="17"/>
      <c r="F1" s="17"/>
      <c r="G1" s="17"/>
      <c r="H1" s="17"/>
      <c r="I1" s="17"/>
      <c r="J1" s="17"/>
      <c r="K1" s="17"/>
      <c r="L1" s="17"/>
    </row>
    <row r="3" spans="1:12">
      <c r="A3" s="2" t="s">
        <v>184</v>
      </c>
      <c r="B3" s="2" t="s">
        <v>62</v>
      </c>
      <c r="C3" s="2" t="s">
        <v>154</v>
      </c>
      <c r="D3" s="2" t="s">
        <v>186</v>
      </c>
      <c r="E3" s="2" t="s">
        <v>188</v>
      </c>
      <c r="F3" s="2" t="s">
        <v>190</v>
      </c>
      <c r="G3" s="2" t="s">
        <v>192</v>
      </c>
      <c r="H3" s="2" t="s">
        <v>194</v>
      </c>
      <c r="I3" s="2" t="s">
        <v>196</v>
      </c>
      <c r="J3" s="2" t="s">
        <v>198</v>
      </c>
      <c r="K3" s="2" t="s">
        <v>61</v>
      </c>
      <c r="L3" s="2" t="s">
        <v>170</v>
      </c>
    </row>
    <row r="4" spans="1:12" ht="45" customHeight="1">
      <c r="A4" s="9" t="s">
        <v>563</v>
      </c>
      <c r="B4" s="9" t="s">
        <v>153</v>
      </c>
      <c r="C4" s="9" t="s">
        <v>482</v>
      </c>
      <c r="D4" s="9" t="s">
        <v>564</v>
      </c>
      <c r="E4" s="9" t="s">
        <v>565</v>
      </c>
      <c r="F4" s="9" t="s">
        <v>566</v>
      </c>
      <c r="G4" s="9" t="s">
        <v>567</v>
      </c>
      <c r="H4" s="9" t="s">
        <v>568</v>
      </c>
      <c r="I4" s="9" t="s">
        <v>569</v>
      </c>
      <c r="J4" s="9" t="s">
        <v>570</v>
      </c>
      <c r="K4" s="9" t="s">
        <v>85</v>
      </c>
      <c r="L4" s="9" t="s">
        <v>571</v>
      </c>
    </row>
    <row r="5" spans="1:12" ht="45" customHeight="1">
      <c r="A5" s="10" t="s">
        <v>572</v>
      </c>
      <c r="B5" s="10" t="s">
        <v>153</v>
      </c>
      <c r="C5" s="10" t="s">
        <v>482</v>
      </c>
      <c r="D5" s="10" t="s">
        <v>573</v>
      </c>
      <c r="E5" s="10" t="s">
        <v>565</v>
      </c>
      <c r="F5" s="10" t="s">
        <v>574</v>
      </c>
      <c r="G5" s="10" t="s">
        <v>575</v>
      </c>
      <c r="H5" s="10" t="s">
        <v>576</v>
      </c>
      <c r="I5" s="10" t="s">
        <v>577</v>
      </c>
      <c r="J5" s="10" t="s">
        <v>578</v>
      </c>
      <c r="K5" s="10" t="s">
        <v>85</v>
      </c>
      <c r="L5" s="10" t="s">
        <v>571</v>
      </c>
    </row>
    <row r="6" spans="1:12" ht="45" customHeight="1">
      <c r="A6" s="9" t="s">
        <v>579</v>
      </c>
      <c r="B6" s="9" t="s">
        <v>153</v>
      </c>
      <c r="C6" s="9" t="s">
        <v>482</v>
      </c>
      <c r="D6" s="9" t="s">
        <v>580</v>
      </c>
      <c r="E6" s="9" t="s">
        <v>565</v>
      </c>
      <c r="F6" s="9" t="s">
        <v>581</v>
      </c>
      <c r="G6" s="9" t="s">
        <v>582</v>
      </c>
      <c r="H6" s="9" t="s">
        <v>583</v>
      </c>
      <c r="I6" s="9" t="s">
        <v>584</v>
      </c>
      <c r="J6" s="9" t="s">
        <v>585</v>
      </c>
      <c r="K6" s="9" t="s">
        <v>85</v>
      </c>
      <c r="L6" s="9" t="s">
        <v>571</v>
      </c>
    </row>
    <row r="7" spans="1:12" ht="45" customHeight="1">
      <c r="A7" s="10" t="s">
        <v>586</v>
      </c>
      <c r="B7" s="10" t="s">
        <v>153</v>
      </c>
      <c r="C7" s="10" t="s">
        <v>482</v>
      </c>
      <c r="D7" s="10" t="s">
        <v>587</v>
      </c>
      <c r="E7" s="10" t="s">
        <v>565</v>
      </c>
      <c r="F7" s="10" t="s">
        <v>588</v>
      </c>
      <c r="G7" s="10" t="s">
        <v>589</v>
      </c>
      <c r="H7" s="10" t="s">
        <v>590</v>
      </c>
      <c r="I7" s="10" t="s">
        <v>591</v>
      </c>
      <c r="J7" s="10" t="s">
        <v>592</v>
      </c>
      <c r="K7" s="10" t="s">
        <v>85</v>
      </c>
      <c r="L7" s="10" t="s">
        <v>571</v>
      </c>
    </row>
    <row r="8" spans="1:12" ht="45" customHeight="1">
      <c r="A8" s="9" t="s">
        <v>593</v>
      </c>
      <c r="B8" s="9" t="s">
        <v>153</v>
      </c>
      <c r="C8" s="9" t="s">
        <v>482</v>
      </c>
      <c r="D8" s="9" t="s">
        <v>594</v>
      </c>
      <c r="E8" s="9" t="s">
        <v>565</v>
      </c>
      <c r="F8" s="9" t="s">
        <v>595</v>
      </c>
      <c r="G8" s="9" t="s">
        <v>596</v>
      </c>
      <c r="H8" s="9" t="s">
        <v>597</v>
      </c>
      <c r="I8" s="9" t="s">
        <v>598</v>
      </c>
      <c r="J8" s="9" t="s">
        <v>599</v>
      </c>
      <c r="K8" s="9" t="s">
        <v>85</v>
      </c>
      <c r="L8" s="9" t="s">
        <v>571</v>
      </c>
    </row>
    <row r="9" spans="1:12" ht="45" customHeight="1">
      <c r="A9" s="10" t="s">
        <v>600</v>
      </c>
      <c r="B9" s="10" t="s">
        <v>153</v>
      </c>
      <c r="C9" s="10" t="s">
        <v>482</v>
      </c>
      <c r="D9" s="10" t="s">
        <v>601</v>
      </c>
      <c r="E9" s="10" t="s">
        <v>565</v>
      </c>
      <c r="F9" s="10" t="s">
        <v>602</v>
      </c>
      <c r="G9" s="10" t="s">
        <v>603</v>
      </c>
      <c r="H9" s="10" t="s">
        <v>604</v>
      </c>
      <c r="I9" s="10" t="s">
        <v>605</v>
      </c>
      <c r="J9" s="10" t="s">
        <v>606</v>
      </c>
      <c r="K9" s="10" t="s">
        <v>85</v>
      </c>
      <c r="L9" s="10" t="s">
        <v>571</v>
      </c>
    </row>
    <row r="10" spans="1:12" ht="45" customHeight="1">
      <c r="A10" s="9" t="s">
        <v>607</v>
      </c>
      <c r="B10" s="9" t="s">
        <v>153</v>
      </c>
      <c r="C10" s="9" t="s">
        <v>482</v>
      </c>
      <c r="D10" s="9" t="s">
        <v>608</v>
      </c>
      <c r="E10" s="9" t="s">
        <v>565</v>
      </c>
      <c r="F10" s="9" t="s">
        <v>609</v>
      </c>
      <c r="G10" s="9" t="s">
        <v>610</v>
      </c>
      <c r="H10" s="9" t="s">
        <v>611</v>
      </c>
      <c r="I10" s="9" t="s">
        <v>612</v>
      </c>
      <c r="J10" s="9" t="s">
        <v>613</v>
      </c>
      <c r="K10" s="9" t="s">
        <v>85</v>
      </c>
      <c r="L10" s="9" t="s">
        <v>571</v>
      </c>
    </row>
    <row r="11" spans="1:12" ht="45" customHeight="1">
      <c r="A11" s="10" t="s">
        <v>614</v>
      </c>
      <c r="B11" s="10" t="s">
        <v>153</v>
      </c>
      <c r="C11" s="10" t="s">
        <v>482</v>
      </c>
      <c r="D11" s="10" t="s">
        <v>615</v>
      </c>
      <c r="E11" s="10" t="s">
        <v>565</v>
      </c>
      <c r="F11" s="10" t="s">
        <v>616</v>
      </c>
      <c r="G11" s="10" t="s">
        <v>617</v>
      </c>
      <c r="H11" s="10" t="s">
        <v>618</v>
      </c>
      <c r="I11" s="10" t="s">
        <v>619</v>
      </c>
      <c r="J11" s="10" t="s">
        <v>620</v>
      </c>
      <c r="K11" s="10" t="s">
        <v>85</v>
      </c>
      <c r="L11" s="10" t="s">
        <v>571</v>
      </c>
    </row>
    <row r="12" spans="1:12" ht="45" customHeight="1">
      <c r="A12" s="9" t="s">
        <v>621</v>
      </c>
      <c r="B12" s="9" t="s">
        <v>153</v>
      </c>
      <c r="C12" s="9" t="s">
        <v>482</v>
      </c>
      <c r="D12" s="9" t="s">
        <v>622</v>
      </c>
      <c r="E12" s="9" t="s">
        <v>565</v>
      </c>
      <c r="F12" s="9" t="s">
        <v>623</v>
      </c>
      <c r="G12" s="9" t="s">
        <v>624</v>
      </c>
      <c r="H12" s="9" t="s">
        <v>625</v>
      </c>
      <c r="I12" s="9" t="s">
        <v>626</v>
      </c>
      <c r="J12" s="9" t="s">
        <v>627</v>
      </c>
      <c r="K12" s="9" t="s">
        <v>85</v>
      </c>
      <c r="L12" s="9" t="s">
        <v>571</v>
      </c>
    </row>
    <row r="13" spans="1:12" ht="45" customHeight="1">
      <c r="A13" s="10" t="s">
        <v>628</v>
      </c>
      <c r="B13" s="10" t="s">
        <v>153</v>
      </c>
      <c r="C13" s="10" t="s">
        <v>482</v>
      </c>
      <c r="D13" s="10" t="s">
        <v>629</v>
      </c>
      <c r="E13" s="10" t="s">
        <v>630</v>
      </c>
      <c r="F13" s="10" t="s">
        <v>631</v>
      </c>
      <c r="G13" s="10" t="s">
        <v>632</v>
      </c>
      <c r="H13" s="10" t="s">
        <v>633</v>
      </c>
      <c r="I13" s="10" t="s">
        <v>634</v>
      </c>
      <c r="J13" s="10" t="s">
        <v>635</v>
      </c>
      <c r="K13" s="10" t="s">
        <v>85</v>
      </c>
      <c r="L13" s="10" t="s">
        <v>571</v>
      </c>
    </row>
    <row r="14" spans="1:12" ht="45" customHeight="1">
      <c r="A14" s="9" t="s">
        <v>636</v>
      </c>
      <c r="B14" s="9" t="s">
        <v>153</v>
      </c>
      <c r="C14" s="9" t="s">
        <v>482</v>
      </c>
      <c r="D14" s="9" t="s">
        <v>637</v>
      </c>
      <c r="E14" s="9" t="s">
        <v>630</v>
      </c>
      <c r="F14" s="9" t="s">
        <v>638</v>
      </c>
      <c r="G14" s="9" t="s">
        <v>639</v>
      </c>
      <c r="H14" s="9" t="s">
        <v>640</v>
      </c>
      <c r="I14" s="9" t="s">
        <v>641</v>
      </c>
      <c r="J14" s="9" t="s">
        <v>642</v>
      </c>
      <c r="K14" s="9" t="s">
        <v>85</v>
      </c>
      <c r="L14" s="9" t="s">
        <v>571</v>
      </c>
    </row>
    <row r="15" spans="1:12" ht="45" customHeight="1">
      <c r="A15" s="10" t="s">
        <v>643</v>
      </c>
      <c r="B15" s="10" t="s">
        <v>153</v>
      </c>
      <c r="C15" s="10" t="s">
        <v>482</v>
      </c>
      <c r="D15" s="10" t="s">
        <v>644</v>
      </c>
      <c r="E15" s="10" t="s">
        <v>630</v>
      </c>
      <c r="F15" s="10" t="s">
        <v>645</v>
      </c>
      <c r="G15" s="10" t="s">
        <v>646</v>
      </c>
      <c r="H15" s="10" t="s">
        <v>647</v>
      </c>
      <c r="I15" s="10" t="s">
        <v>648</v>
      </c>
      <c r="J15" s="10" t="s">
        <v>649</v>
      </c>
      <c r="K15" s="10" t="s">
        <v>85</v>
      </c>
      <c r="L15" s="10" t="s">
        <v>571</v>
      </c>
    </row>
    <row r="16" spans="1:12" ht="45" customHeight="1">
      <c r="A16" s="9" t="s">
        <v>650</v>
      </c>
      <c r="B16" s="9" t="s">
        <v>153</v>
      </c>
      <c r="C16" s="9" t="s">
        <v>482</v>
      </c>
      <c r="D16" s="9" t="s">
        <v>651</v>
      </c>
      <c r="E16" s="9" t="s">
        <v>630</v>
      </c>
      <c r="F16" s="9" t="s">
        <v>652</v>
      </c>
      <c r="G16" s="9" t="s">
        <v>653</v>
      </c>
      <c r="H16" s="9" t="s">
        <v>654</v>
      </c>
      <c r="I16" s="9" t="s">
        <v>655</v>
      </c>
      <c r="J16" s="9" t="s">
        <v>656</v>
      </c>
      <c r="K16" s="9" t="s">
        <v>85</v>
      </c>
      <c r="L16" s="9" t="s">
        <v>571</v>
      </c>
    </row>
    <row r="17" spans="1:12" ht="45" customHeight="1">
      <c r="A17" s="10" t="s">
        <v>657</v>
      </c>
      <c r="B17" s="10" t="s">
        <v>153</v>
      </c>
      <c r="C17" s="10" t="s">
        <v>482</v>
      </c>
      <c r="D17" s="10" t="s">
        <v>658</v>
      </c>
      <c r="E17" s="10" t="s">
        <v>630</v>
      </c>
      <c r="F17" s="10" t="s">
        <v>659</v>
      </c>
      <c r="G17" s="10" t="s">
        <v>660</v>
      </c>
      <c r="H17" s="10" t="s">
        <v>661</v>
      </c>
      <c r="I17" s="10" t="s">
        <v>662</v>
      </c>
      <c r="J17" s="10" t="s">
        <v>663</v>
      </c>
      <c r="K17" s="10" t="s">
        <v>85</v>
      </c>
      <c r="L17" s="10" t="s">
        <v>571</v>
      </c>
    </row>
    <row r="18" spans="1:12" ht="45" customHeight="1">
      <c r="A18" s="9" t="s">
        <v>664</v>
      </c>
      <c r="B18" s="9" t="s">
        <v>153</v>
      </c>
      <c r="C18" s="9" t="s">
        <v>482</v>
      </c>
      <c r="D18" s="9" t="s">
        <v>665</v>
      </c>
      <c r="E18" s="9" t="s">
        <v>630</v>
      </c>
      <c r="F18" s="9" t="s">
        <v>666</v>
      </c>
      <c r="G18" s="9" t="s">
        <v>667</v>
      </c>
      <c r="H18" s="9" t="s">
        <v>668</v>
      </c>
      <c r="I18" s="9" t="s">
        <v>669</v>
      </c>
      <c r="J18" s="9" t="s">
        <v>670</v>
      </c>
      <c r="K18" s="9" t="s">
        <v>85</v>
      </c>
      <c r="L18" s="9" t="s">
        <v>571</v>
      </c>
    </row>
    <row r="19" spans="1:12" ht="45" customHeight="1">
      <c r="A19" s="10" t="s">
        <v>671</v>
      </c>
      <c r="B19" s="10" t="s">
        <v>153</v>
      </c>
      <c r="C19" s="10" t="s">
        <v>482</v>
      </c>
      <c r="D19" s="10" t="s">
        <v>672</v>
      </c>
      <c r="E19" s="10" t="s">
        <v>630</v>
      </c>
      <c r="F19" s="10" t="s">
        <v>673</v>
      </c>
      <c r="G19" s="10" t="s">
        <v>674</v>
      </c>
      <c r="H19" s="10" t="s">
        <v>675</v>
      </c>
      <c r="I19" s="10" t="s">
        <v>676</v>
      </c>
      <c r="J19" s="10" t="s">
        <v>677</v>
      </c>
      <c r="K19" s="10" t="s">
        <v>85</v>
      </c>
      <c r="L19" s="10" t="s">
        <v>571</v>
      </c>
    </row>
    <row r="20" spans="1:12" ht="45" customHeight="1">
      <c r="A20" s="9" t="s">
        <v>678</v>
      </c>
      <c r="B20" s="9" t="s">
        <v>153</v>
      </c>
      <c r="C20" s="9" t="s">
        <v>493</v>
      </c>
      <c r="D20" s="9" t="s">
        <v>564</v>
      </c>
      <c r="E20" s="9" t="s">
        <v>565</v>
      </c>
      <c r="F20" s="9" t="s">
        <v>679</v>
      </c>
      <c r="G20" s="9" t="s">
        <v>680</v>
      </c>
      <c r="H20" s="9" t="s">
        <v>681</v>
      </c>
      <c r="I20" s="9" t="s">
        <v>569</v>
      </c>
      <c r="J20" s="9" t="s">
        <v>682</v>
      </c>
      <c r="K20" s="9" t="s">
        <v>101</v>
      </c>
      <c r="L20" s="9" t="s">
        <v>571</v>
      </c>
    </row>
    <row r="21" spans="1:12" ht="45" customHeight="1">
      <c r="A21" s="10" t="s">
        <v>683</v>
      </c>
      <c r="B21" s="10" t="s">
        <v>153</v>
      </c>
      <c r="C21" s="10" t="s">
        <v>493</v>
      </c>
      <c r="D21" s="10" t="s">
        <v>684</v>
      </c>
      <c r="E21" s="10" t="s">
        <v>565</v>
      </c>
      <c r="F21" s="10" t="s">
        <v>685</v>
      </c>
      <c r="G21" s="10" t="s">
        <v>686</v>
      </c>
      <c r="H21" s="10" t="s">
        <v>687</v>
      </c>
      <c r="I21" s="10" t="s">
        <v>688</v>
      </c>
      <c r="J21" s="10" t="s">
        <v>689</v>
      </c>
      <c r="K21" s="10" t="s">
        <v>101</v>
      </c>
      <c r="L21" s="10" t="s">
        <v>571</v>
      </c>
    </row>
    <row r="22" spans="1:12" ht="45" customHeight="1">
      <c r="A22" s="9" t="s">
        <v>690</v>
      </c>
      <c r="B22" s="9" t="s">
        <v>153</v>
      </c>
      <c r="C22" s="9" t="s">
        <v>493</v>
      </c>
      <c r="D22" s="9" t="s">
        <v>691</v>
      </c>
      <c r="E22" s="9" t="s">
        <v>565</v>
      </c>
      <c r="F22" s="9" t="s">
        <v>692</v>
      </c>
      <c r="G22" s="9" t="s">
        <v>693</v>
      </c>
      <c r="H22" s="9" t="s">
        <v>694</v>
      </c>
      <c r="I22" s="9" t="s">
        <v>695</v>
      </c>
      <c r="J22" s="9" t="s">
        <v>696</v>
      </c>
      <c r="K22" s="9" t="s">
        <v>101</v>
      </c>
      <c r="L22" s="9" t="s">
        <v>571</v>
      </c>
    </row>
    <row r="23" spans="1:12" ht="45" customHeight="1">
      <c r="A23" s="10" t="s">
        <v>697</v>
      </c>
      <c r="B23" s="10" t="s">
        <v>153</v>
      </c>
      <c r="C23" s="10" t="s">
        <v>493</v>
      </c>
      <c r="D23" s="10" t="s">
        <v>698</v>
      </c>
      <c r="E23" s="10" t="s">
        <v>565</v>
      </c>
      <c r="F23" s="10" t="s">
        <v>699</v>
      </c>
      <c r="G23" s="10" t="s">
        <v>700</v>
      </c>
      <c r="H23" s="10" t="s">
        <v>701</v>
      </c>
      <c r="I23" s="10" t="s">
        <v>702</v>
      </c>
      <c r="J23" s="10" t="s">
        <v>703</v>
      </c>
      <c r="K23" s="10" t="s">
        <v>101</v>
      </c>
      <c r="L23" s="10" t="s">
        <v>571</v>
      </c>
    </row>
    <row r="24" spans="1:12" ht="45" customHeight="1">
      <c r="A24" s="9" t="s">
        <v>704</v>
      </c>
      <c r="B24" s="9" t="s">
        <v>153</v>
      </c>
      <c r="C24" s="9" t="s">
        <v>493</v>
      </c>
      <c r="D24" s="9" t="s">
        <v>705</v>
      </c>
      <c r="E24" s="9" t="s">
        <v>565</v>
      </c>
      <c r="F24" s="9" t="s">
        <v>706</v>
      </c>
      <c r="G24" s="9" t="s">
        <v>707</v>
      </c>
      <c r="H24" s="9" t="s">
        <v>708</v>
      </c>
      <c r="I24" s="9" t="s">
        <v>709</v>
      </c>
      <c r="J24" s="9" t="s">
        <v>710</v>
      </c>
      <c r="K24" s="9" t="s">
        <v>101</v>
      </c>
      <c r="L24" s="9" t="s">
        <v>571</v>
      </c>
    </row>
    <row r="25" spans="1:12" ht="45" customHeight="1">
      <c r="A25" s="10" t="s">
        <v>711</v>
      </c>
      <c r="B25" s="10" t="s">
        <v>153</v>
      </c>
      <c r="C25" s="10" t="s">
        <v>493</v>
      </c>
      <c r="D25" s="10" t="s">
        <v>712</v>
      </c>
      <c r="E25" s="10" t="s">
        <v>565</v>
      </c>
      <c r="F25" s="10" t="s">
        <v>713</v>
      </c>
      <c r="G25" s="10" t="s">
        <v>714</v>
      </c>
      <c r="H25" s="10" t="s">
        <v>715</v>
      </c>
      <c r="I25" s="10" t="s">
        <v>716</v>
      </c>
      <c r="J25" s="10" t="s">
        <v>717</v>
      </c>
      <c r="K25" s="10" t="s">
        <v>101</v>
      </c>
      <c r="L25" s="10" t="s">
        <v>571</v>
      </c>
    </row>
    <row r="26" spans="1:12" ht="45" customHeight="1">
      <c r="A26" s="9" t="s">
        <v>718</v>
      </c>
      <c r="B26" s="9" t="s">
        <v>153</v>
      </c>
      <c r="C26" s="9" t="s">
        <v>493</v>
      </c>
      <c r="D26" s="9" t="s">
        <v>719</v>
      </c>
      <c r="E26" s="9" t="s">
        <v>565</v>
      </c>
      <c r="F26" s="9" t="s">
        <v>720</v>
      </c>
      <c r="G26" s="9" t="s">
        <v>721</v>
      </c>
      <c r="H26" s="9" t="s">
        <v>722</v>
      </c>
      <c r="I26" s="9" t="s">
        <v>723</v>
      </c>
      <c r="J26" s="9" t="s">
        <v>724</v>
      </c>
      <c r="K26" s="9" t="s">
        <v>101</v>
      </c>
      <c r="L26" s="9" t="s">
        <v>571</v>
      </c>
    </row>
    <row r="27" spans="1:12" ht="45" customHeight="1">
      <c r="A27" s="10" t="s">
        <v>725</v>
      </c>
      <c r="B27" s="10" t="s">
        <v>153</v>
      </c>
      <c r="C27" s="10" t="s">
        <v>493</v>
      </c>
      <c r="D27" s="10" t="s">
        <v>726</v>
      </c>
      <c r="E27" s="10" t="s">
        <v>565</v>
      </c>
      <c r="F27" s="10" t="s">
        <v>727</v>
      </c>
      <c r="G27" s="10" t="s">
        <v>624</v>
      </c>
      <c r="H27" s="10" t="s">
        <v>625</v>
      </c>
      <c r="I27" s="10" t="s">
        <v>626</v>
      </c>
      <c r="J27" s="10" t="s">
        <v>728</v>
      </c>
      <c r="K27" s="10" t="s">
        <v>101</v>
      </c>
      <c r="L27" s="10" t="s">
        <v>571</v>
      </c>
    </row>
    <row r="28" spans="1:12" ht="45" customHeight="1">
      <c r="A28" s="9" t="s">
        <v>729</v>
      </c>
      <c r="B28" s="9" t="s">
        <v>153</v>
      </c>
      <c r="C28" s="9" t="s">
        <v>493</v>
      </c>
      <c r="D28" s="9" t="s">
        <v>629</v>
      </c>
      <c r="E28" s="9" t="s">
        <v>630</v>
      </c>
      <c r="F28" s="9" t="s">
        <v>631</v>
      </c>
      <c r="G28" s="9" t="s">
        <v>632</v>
      </c>
      <c r="H28" s="9" t="s">
        <v>633</v>
      </c>
      <c r="I28" s="9" t="s">
        <v>634</v>
      </c>
      <c r="J28" s="9" t="s">
        <v>635</v>
      </c>
      <c r="K28" s="9" t="s">
        <v>101</v>
      </c>
      <c r="L28" s="9" t="s">
        <v>571</v>
      </c>
    </row>
    <row r="29" spans="1:12" ht="45" customHeight="1">
      <c r="A29" s="10" t="s">
        <v>730</v>
      </c>
      <c r="B29" s="10" t="s">
        <v>153</v>
      </c>
      <c r="C29" s="10" t="s">
        <v>493</v>
      </c>
      <c r="D29" s="10" t="s">
        <v>731</v>
      </c>
      <c r="E29" s="10" t="s">
        <v>630</v>
      </c>
      <c r="F29" s="10" t="s">
        <v>732</v>
      </c>
      <c r="G29" s="10" t="s">
        <v>733</v>
      </c>
      <c r="H29" s="10" t="s">
        <v>734</v>
      </c>
      <c r="I29" s="10" t="s">
        <v>641</v>
      </c>
      <c r="J29" s="10" t="s">
        <v>642</v>
      </c>
      <c r="K29" s="10" t="s">
        <v>101</v>
      </c>
      <c r="L29" s="10" t="s">
        <v>571</v>
      </c>
    </row>
    <row r="30" spans="1:12" ht="45" customHeight="1">
      <c r="A30" s="9" t="s">
        <v>735</v>
      </c>
      <c r="B30" s="9" t="s">
        <v>153</v>
      </c>
      <c r="C30" s="9" t="s">
        <v>493</v>
      </c>
      <c r="D30" s="9" t="s">
        <v>736</v>
      </c>
      <c r="E30" s="9" t="s">
        <v>737</v>
      </c>
      <c r="F30" s="9" t="s">
        <v>738</v>
      </c>
      <c r="G30" s="9" t="s">
        <v>739</v>
      </c>
      <c r="H30" s="9" t="s">
        <v>740</v>
      </c>
      <c r="I30" s="9" t="s">
        <v>741</v>
      </c>
      <c r="J30" s="9" t="s">
        <v>742</v>
      </c>
      <c r="K30" s="9" t="s">
        <v>101</v>
      </c>
      <c r="L30" s="9" t="s">
        <v>571</v>
      </c>
    </row>
    <row r="31" spans="1:12" ht="45" customHeight="1">
      <c r="A31" s="10" t="s">
        <v>743</v>
      </c>
      <c r="B31" s="10" t="s">
        <v>153</v>
      </c>
      <c r="C31" s="10" t="s">
        <v>493</v>
      </c>
      <c r="D31" s="10" t="s">
        <v>744</v>
      </c>
      <c r="E31" s="10" t="s">
        <v>737</v>
      </c>
      <c r="F31" s="10" t="s">
        <v>745</v>
      </c>
      <c r="G31" s="10" t="s">
        <v>746</v>
      </c>
      <c r="H31" s="10" t="s">
        <v>747</v>
      </c>
      <c r="I31" s="10" t="s">
        <v>748</v>
      </c>
      <c r="J31" s="10" t="s">
        <v>749</v>
      </c>
      <c r="K31" s="10" t="s">
        <v>101</v>
      </c>
      <c r="L31" s="10" t="s">
        <v>571</v>
      </c>
    </row>
  </sheetData>
  <autoFilter ref="A3:L31" xr:uid="{00000000-0009-0000-0000-000006000000}"/>
  <mergeCells count="1">
    <mergeCell ref="A1:L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
  <sheetViews>
    <sheetView showGridLines="0" workbookViewId="0">
      <pane ySplit="3" topLeftCell="B4" activePane="bottomLeft" state="frozen"/>
      <selection pane="bottomLeft" activeCell="B8" sqref="B8"/>
    </sheetView>
  </sheetViews>
  <sheetFormatPr defaultRowHeight="15"/>
  <cols>
    <col min="1" max="1" width="20" customWidth="1"/>
    <col min="2" max="2" width="29" customWidth="1"/>
    <col min="3" max="5" width="45" customWidth="1"/>
    <col min="6" max="6" width="12" customWidth="1"/>
  </cols>
  <sheetData>
    <row r="1" spans="1:6" ht="26.1" customHeight="1">
      <c r="A1" s="16" t="s">
        <v>750</v>
      </c>
      <c r="B1" s="17"/>
      <c r="C1" s="17"/>
      <c r="D1" s="17"/>
      <c r="E1" s="17"/>
      <c r="F1" s="17"/>
    </row>
    <row r="3" spans="1:6">
      <c r="A3" s="2" t="s">
        <v>200</v>
      </c>
      <c r="B3" s="2" t="s">
        <v>202</v>
      </c>
      <c r="C3" s="2" t="s">
        <v>204</v>
      </c>
      <c r="D3" s="2" t="s">
        <v>206</v>
      </c>
      <c r="E3" s="2" t="s">
        <v>208</v>
      </c>
      <c r="F3" s="3"/>
    </row>
    <row r="4" spans="1:6" ht="45" customHeight="1">
      <c r="A4" s="9">
        <v>0</v>
      </c>
      <c r="B4" s="9" t="s">
        <v>751</v>
      </c>
      <c r="C4" s="9" t="s">
        <v>752</v>
      </c>
      <c r="D4" s="9" t="s">
        <v>753</v>
      </c>
      <c r="E4" s="9" t="s">
        <v>754</v>
      </c>
      <c r="F4" s="5"/>
    </row>
    <row r="5" spans="1:6" ht="45" customHeight="1">
      <c r="A5" s="10">
        <v>1</v>
      </c>
      <c r="B5" s="10" t="s">
        <v>755</v>
      </c>
      <c r="C5" s="10" t="s">
        <v>756</v>
      </c>
      <c r="D5" s="10" t="s">
        <v>757</v>
      </c>
      <c r="E5" s="10" t="s">
        <v>754</v>
      </c>
      <c r="F5" s="3"/>
    </row>
    <row r="6" spans="1:6" ht="45" customHeight="1">
      <c r="A6" s="9">
        <v>2</v>
      </c>
      <c r="B6" s="9" t="s">
        <v>758</v>
      </c>
      <c r="C6" s="9" t="s">
        <v>759</v>
      </c>
      <c r="D6" s="9" t="s">
        <v>760</v>
      </c>
      <c r="E6" s="9" t="s">
        <v>754</v>
      </c>
      <c r="F6" s="5"/>
    </row>
    <row r="7" spans="1:6" ht="45" customHeight="1">
      <c r="A7" s="10">
        <v>3</v>
      </c>
      <c r="B7" s="10" t="s">
        <v>761</v>
      </c>
      <c r="C7" s="10" t="s">
        <v>762</v>
      </c>
      <c r="D7" s="10" t="s">
        <v>763</v>
      </c>
      <c r="E7" s="10" t="s">
        <v>754</v>
      </c>
      <c r="F7" s="3"/>
    </row>
    <row r="8" spans="1:6" ht="45" customHeight="1">
      <c r="A8" s="9">
        <v>4</v>
      </c>
      <c r="B8" s="9" t="s">
        <v>764</v>
      </c>
      <c r="C8" s="9" t="s">
        <v>765</v>
      </c>
      <c r="D8" s="9" t="s">
        <v>766</v>
      </c>
      <c r="E8" s="9" t="s">
        <v>754</v>
      </c>
      <c r="F8" s="5"/>
    </row>
    <row r="9" spans="1:6" ht="45" customHeight="1">
      <c r="A9" s="10">
        <v>5</v>
      </c>
      <c r="B9" s="10" t="s">
        <v>767</v>
      </c>
      <c r="C9" s="10" t="s">
        <v>768</v>
      </c>
      <c r="D9" s="10" t="s">
        <v>769</v>
      </c>
      <c r="E9" s="10" t="s">
        <v>754</v>
      </c>
      <c r="F9" s="3"/>
    </row>
  </sheetData>
  <autoFilter ref="A3:F9" xr:uid="{00000000-0009-0000-0000-000007000000}"/>
  <mergeCells count="1">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93"/>
  <sheetViews>
    <sheetView showGridLines="0" workbookViewId="0">
      <pane ySplit="3" topLeftCell="B4" activePane="bottomLeft" state="frozen"/>
      <selection pane="bottomLeft"/>
    </sheetView>
  </sheetViews>
  <sheetFormatPr defaultRowHeight="15"/>
  <cols>
    <col min="1" max="1" width="16" customWidth="1"/>
    <col min="2" max="2" width="45" customWidth="1"/>
    <col min="3" max="3" width="12" customWidth="1"/>
    <col min="4" max="4" width="26" customWidth="1"/>
    <col min="5" max="5" width="34" customWidth="1"/>
    <col min="6" max="6" width="30" customWidth="1"/>
    <col min="7" max="7" width="12" customWidth="1"/>
    <col min="8" max="9" width="45" customWidth="1"/>
    <col min="10" max="10" width="21" customWidth="1"/>
    <col min="11" max="11" width="26" customWidth="1"/>
    <col min="12" max="12" width="14" customWidth="1"/>
    <col min="13" max="14" width="45" customWidth="1"/>
    <col min="15" max="15" width="24" customWidth="1"/>
  </cols>
  <sheetData>
    <row r="1" spans="1:15" ht="26.1" customHeight="1">
      <c r="A1" s="16" t="s">
        <v>770</v>
      </c>
      <c r="B1" s="17"/>
      <c r="C1" s="17"/>
      <c r="D1" s="17"/>
      <c r="E1" s="17"/>
      <c r="F1" s="17"/>
      <c r="G1" s="17"/>
      <c r="H1" s="17"/>
      <c r="I1" s="17"/>
      <c r="J1" s="17"/>
      <c r="K1" s="17"/>
      <c r="L1" s="17"/>
    </row>
    <row r="3" spans="1:15">
      <c r="A3" s="2" t="s">
        <v>210</v>
      </c>
      <c r="B3" s="2" t="s">
        <v>62</v>
      </c>
      <c r="C3" s="2" t="s">
        <v>154</v>
      </c>
      <c r="D3" s="2" t="s">
        <v>156</v>
      </c>
      <c r="E3" s="2" t="s">
        <v>151</v>
      </c>
      <c r="F3" s="2" t="s">
        <v>158</v>
      </c>
      <c r="G3" s="2" t="s">
        <v>160</v>
      </c>
      <c r="H3" s="2" t="s">
        <v>184</v>
      </c>
      <c r="I3" s="2" t="s">
        <v>186</v>
      </c>
      <c r="J3" s="2" t="s">
        <v>188</v>
      </c>
      <c r="K3" s="2" t="s">
        <v>212</v>
      </c>
      <c r="L3" s="2" t="s">
        <v>214</v>
      </c>
      <c r="M3" s="2" t="s">
        <v>204</v>
      </c>
      <c r="N3" s="2" t="s">
        <v>61</v>
      </c>
      <c r="O3" s="2" t="s">
        <v>170</v>
      </c>
    </row>
    <row r="4" spans="1:15" ht="45" customHeight="1">
      <c r="A4" s="9" t="s">
        <v>771</v>
      </c>
      <c r="B4" s="9" t="s">
        <v>153</v>
      </c>
      <c r="C4" s="9" t="s">
        <v>482</v>
      </c>
      <c r="D4" s="9" t="s">
        <v>483</v>
      </c>
      <c r="E4" s="9" t="s">
        <v>481</v>
      </c>
      <c r="F4" s="9" t="s">
        <v>484</v>
      </c>
      <c r="G4" s="9" t="s">
        <v>485</v>
      </c>
      <c r="H4" s="9" t="s">
        <v>563</v>
      </c>
      <c r="I4" s="9" t="s">
        <v>564</v>
      </c>
      <c r="J4" s="9" t="s">
        <v>565</v>
      </c>
      <c r="K4" s="9">
        <v>3</v>
      </c>
      <c r="L4" s="9" t="s">
        <v>772</v>
      </c>
      <c r="M4" s="9" t="s">
        <v>568</v>
      </c>
      <c r="N4" s="9" t="s">
        <v>85</v>
      </c>
      <c r="O4" s="9" t="s">
        <v>486</v>
      </c>
    </row>
    <row r="5" spans="1:15" ht="45" customHeight="1">
      <c r="A5" s="10" t="s">
        <v>773</v>
      </c>
      <c r="B5" s="10" t="s">
        <v>153</v>
      </c>
      <c r="C5" s="10" t="s">
        <v>482</v>
      </c>
      <c r="D5" s="10" t="s">
        <v>483</v>
      </c>
      <c r="E5" s="10" t="s">
        <v>481</v>
      </c>
      <c r="F5" s="10" t="s">
        <v>484</v>
      </c>
      <c r="G5" s="10" t="s">
        <v>485</v>
      </c>
      <c r="H5" s="10" t="s">
        <v>572</v>
      </c>
      <c r="I5" s="10" t="s">
        <v>573</v>
      </c>
      <c r="J5" s="10" t="s">
        <v>565</v>
      </c>
      <c r="K5" s="10">
        <v>3</v>
      </c>
      <c r="L5" s="10" t="s">
        <v>772</v>
      </c>
      <c r="M5" s="10" t="s">
        <v>576</v>
      </c>
      <c r="N5" s="10" t="s">
        <v>85</v>
      </c>
      <c r="O5" s="10" t="s">
        <v>486</v>
      </c>
    </row>
    <row r="6" spans="1:15" ht="45" customHeight="1">
      <c r="A6" s="9" t="s">
        <v>774</v>
      </c>
      <c r="B6" s="9" t="s">
        <v>153</v>
      </c>
      <c r="C6" s="9" t="s">
        <v>482</v>
      </c>
      <c r="D6" s="9" t="s">
        <v>483</v>
      </c>
      <c r="E6" s="9" t="s">
        <v>481</v>
      </c>
      <c r="F6" s="9" t="s">
        <v>484</v>
      </c>
      <c r="G6" s="9" t="s">
        <v>485</v>
      </c>
      <c r="H6" s="9" t="s">
        <v>579</v>
      </c>
      <c r="I6" s="9" t="s">
        <v>580</v>
      </c>
      <c r="J6" s="9" t="s">
        <v>565</v>
      </c>
      <c r="K6" s="9">
        <v>3</v>
      </c>
      <c r="L6" s="9" t="s">
        <v>772</v>
      </c>
      <c r="M6" s="9" t="s">
        <v>583</v>
      </c>
      <c r="N6" s="9" t="s">
        <v>85</v>
      </c>
      <c r="O6" s="9" t="s">
        <v>486</v>
      </c>
    </row>
    <row r="7" spans="1:15" ht="45" customHeight="1">
      <c r="A7" s="10" t="s">
        <v>775</v>
      </c>
      <c r="B7" s="10" t="s">
        <v>153</v>
      </c>
      <c r="C7" s="10" t="s">
        <v>482</v>
      </c>
      <c r="D7" s="10" t="s">
        <v>483</v>
      </c>
      <c r="E7" s="10" t="s">
        <v>481</v>
      </c>
      <c r="F7" s="10" t="s">
        <v>484</v>
      </c>
      <c r="G7" s="10" t="s">
        <v>485</v>
      </c>
      <c r="H7" s="10" t="s">
        <v>586</v>
      </c>
      <c r="I7" s="10" t="s">
        <v>587</v>
      </c>
      <c r="J7" s="10" t="s">
        <v>565</v>
      </c>
      <c r="K7" s="10">
        <v>3</v>
      </c>
      <c r="L7" s="10" t="s">
        <v>772</v>
      </c>
      <c r="M7" s="10" t="s">
        <v>590</v>
      </c>
      <c r="N7" s="10" t="s">
        <v>85</v>
      </c>
      <c r="O7" s="10" t="s">
        <v>486</v>
      </c>
    </row>
    <row r="8" spans="1:15" ht="45" customHeight="1">
      <c r="A8" s="9" t="s">
        <v>776</v>
      </c>
      <c r="B8" s="9" t="s">
        <v>153</v>
      </c>
      <c r="C8" s="9" t="s">
        <v>482</v>
      </c>
      <c r="D8" s="9" t="s">
        <v>483</v>
      </c>
      <c r="E8" s="9" t="s">
        <v>481</v>
      </c>
      <c r="F8" s="9" t="s">
        <v>484</v>
      </c>
      <c r="G8" s="9" t="s">
        <v>485</v>
      </c>
      <c r="H8" s="9" t="s">
        <v>600</v>
      </c>
      <c r="I8" s="9" t="s">
        <v>601</v>
      </c>
      <c r="J8" s="9" t="s">
        <v>565</v>
      </c>
      <c r="K8" s="9">
        <v>3</v>
      </c>
      <c r="L8" s="9" t="s">
        <v>772</v>
      </c>
      <c r="M8" s="9" t="s">
        <v>604</v>
      </c>
      <c r="N8" s="9" t="s">
        <v>85</v>
      </c>
      <c r="O8" s="9" t="s">
        <v>486</v>
      </c>
    </row>
    <row r="9" spans="1:15" ht="45" customHeight="1">
      <c r="A9" s="10" t="s">
        <v>777</v>
      </c>
      <c r="B9" s="10" t="s">
        <v>153</v>
      </c>
      <c r="C9" s="10" t="s">
        <v>482</v>
      </c>
      <c r="D9" s="10" t="s">
        <v>483</v>
      </c>
      <c r="E9" s="10" t="s">
        <v>481</v>
      </c>
      <c r="F9" s="10" t="s">
        <v>484</v>
      </c>
      <c r="G9" s="10" t="s">
        <v>485</v>
      </c>
      <c r="H9" s="10" t="s">
        <v>607</v>
      </c>
      <c r="I9" s="10" t="s">
        <v>608</v>
      </c>
      <c r="J9" s="10" t="s">
        <v>565</v>
      </c>
      <c r="K9" s="10">
        <v>3</v>
      </c>
      <c r="L9" s="10" t="s">
        <v>772</v>
      </c>
      <c r="M9" s="10" t="s">
        <v>611</v>
      </c>
      <c r="N9" s="10" t="s">
        <v>85</v>
      </c>
      <c r="O9" s="10" t="s">
        <v>486</v>
      </c>
    </row>
    <row r="10" spans="1:15" ht="45" customHeight="1">
      <c r="A10" s="9" t="s">
        <v>778</v>
      </c>
      <c r="B10" s="9" t="s">
        <v>153</v>
      </c>
      <c r="C10" s="9" t="s">
        <v>482</v>
      </c>
      <c r="D10" s="9" t="s">
        <v>483</v>
      </c>
      <c r="E10" s="9" t="s">
        <v>481</v>
      </c>
      <c r="F10" s="9" t="s">
        <v>484</v>
      </c>
      <c r="G10" s="9" t="s">
        <v>485</v>
      </c>
      <c r="H10" s="9" t="s">
        <v>614</v>
      </c>
      <c r="I10" s="9" t="s">
        <v>615</v>
      </c>
      <c r="J10" s="9" t="s">
        <v>565</v>
      </c>
      <c r="K10" s="9">
        <v>3</v>
      </c>
      <c r="L10" s="9" t="s">
        <v>772</v>
      </c>
      <c r="M10" s="9" t="s">
        <v>618</v>
      </c>
      <c r="N10" s="9" t="s">
        <v>85</v>
      </c>
      <c r="O10" s="9" t="s">
        <v>486</v>
      </c>
    </row>
    <row r="11" spans="1:15" ht="45" customHeight="1">
      <c r="A11" s="10" t="s">
        <v>779</v>
      </c>
      <c r="B11" s="10" t="s">
        <v>153</v>
      </c>
      <c r="C11" s="10" t="s">
        <v>482</v>
      </c>
      <c r="D11" s="10" t="s">
        <v>483</v>
      </c>
      <c r="E11" s="10" t="s">
        <v>481</v>
      </c>
      <c r="F11" s="10" t="s">
        <v>484</v>
      </c>
      <c r="G11" s="10" t="s">
        <v>485</v>
      </c>
      <c r="H11" s="10" t="s">
        <v>621</v>
      </c>
      <c r="I11" s="10" t="s">
        <v>622</v>
      </c>
      <c r="J11" s="10" t="s">
        <v>565</v>
      </c>
      <c r="K11" s="10">
        <v>3</v>
      </c>
      <c r="L11" s="10" t="s">
        <v>772</v>
      </c>
      <c r="M11" s="10" t="s">
        <v>625</v>
      </c>
      <c r="N11" s="10" t="s">
        <v>85</v>
      </c>
      <c r="O11" s="10" t="s">
        <v>486</v>
      </c>
    </row>
    <row r="12" spans="1:15" ht="45" customHeight="1">
      <c r="A12" s="9" t="s">
        <v>780</v>
      </c>
      <c r="B12" s="9" t="s">
        <v>153</v>
      </c>
      <c r="C12" s="9" t="s">
        <v>482</v>
      </c>
      <c r="D12" s="9" t="s">
        <v>483</v>
      </c>
      <c r="E12" s="9" t="s">
        <v>481</v>
      </c>
      <c r="F12" s="9" t="s">
        <v>484</v>
      </c>
      <c r="G12" s="9" t="s">
        <v>485</v>
      </c>
      <c r="H12" s="9" t="s">
        <v>628</v>
      </c>
      <c r="I12" s="9" t="s">
        <v>629</v>
      </c>
      <c r="J12" s="9" t="s">
        <v>630</v>
      </c>
      <c r="K12" s="9">
        <v>3</v>
      </c>
      <c r="L12" s="9" t="s">
        <v>772</v>
      </c>
      <c r="M12" s="9" t="s">
        <v>633</v>
      </c>
      <c r="N12" s="9" t="s">
        <v>85</v>
      </c>
      <c r="O12" s="9" t="s">
        <v>486</v>
      </c>
    </row>
    <row r="13" spans="1:15" ht="45" customHeight="1">
      <c r="A13" s="10" t="s">
        <v>781</v>
      </c>
      <c r="B13" s="10" t="s">
        <v>153</v>
      </c>
      <c r="C13" s="10" t="s">
        <v>482</v>
      </c>
      <c r="D13" s="10" t="s">
        <v>483</v>
      </c>
      <c r="E13" s="10" t="s">
        <v>481</v>
      </c>
      <c r="F13" s="10" t="s">
        <v>484</v>
      </c>
      <c r="G13" s="10" t="s">
        <v>485</v>
      </c>
      <c r="H13" s="10" t="s">
        <v>636</v>
      </c>
      <c r="I13" s="10" t="s">
        <v>637</v>
      </c>
      <c r="J13" s="10" t="s">
        <v>630</v>
      </c>
      <c r="K13" s="10">
        <v>3</v>
      </c>
      <c r="L13" s="10" t="s">
        <v>772</v>
      </c>
      <c r="M13" s="10" t="s">
        <v>640</v>
      </c>
      <c r="N13" s="10" t="s">
        <v>85</v>
      </c>
      <c r="O13" s="10" t="s">
        <v>486</v>
      </c>
    </row>
    <row r="14" spans="1:15" ht="45" customHeight="1">
      <c r="A14" s="9" t="s">
        <v>782</v>
      </c>
      <c r="B14" s="9" t="s">
        <v>153</v>
      </c>
      <c r="C14" s="9" t="s">
        <v>482</v>
      </c>
      <c r="D14" s="9" t="s">
        <v>483</v>
      </c>
      <c r="E14" s="9" t="s">
        <v>487</v>
      </c>
      <c r="F14" s="9" t="s">
        <v>488</v>
      </c>
      <c r="G14" s="9" t="s">
        <v>489</v>
      </c>
      <c r="H14" s="9" t="s">
        <v>563</v>
      </c>
      <c r="I14" s="9" t="s">
        <v>564</v>
      </c>
      <c r="J14" s="9" t="s">
        <v>565</v>
      </c>
      <c r="K14" s="9">
        <v>3</v>
      </c>
      <c r="L14" s="9" t="s">
        <v>772</v>
      </c>
      <c r="M14" s="9" t="s">
        <v>568</v>
      </c>
      <c r="N14" s="9" t="s">
        <v>85</v>
      </c>
      <c r="O14" s="9" t="s">
        <v>486</v>
      </c>
    </row>
    <row r="15" spans="1:15" ht="45" customHeight="1">
      <c r="A15" s="10" t="s">
        <v>783</v>
      </c>
      <c r="B15" s="10" t="s">
        <v>153</v>
      </c>
      <c r="C15" s="10" t="s">
        <v>482</v>
      </c>
      <c r="D15" s="10" t="s">
        <v>483</v>
      </c>
      <c r="E15" s="10" t="s">
        <v>487</v>
      </c>
      <c r="F15" s="10" t="s">
        <v>488</v>
      </c>
      <c r="G15" s="10" t="s">
        <v>489</v>
      </c>
      <c r="H15" s="10" t="s">
        <v>572</v>
      </c>
      <c r="I15" s="10" t="s">
        <v>573</v>
      </c>
      <c r="J15" s="10" t="s">
        <v>565</v>
      </c>
      <c r="K15" s="10">
        <v>3</v>
      </c>
      <c r="L15" s="10" t="s">
        <v>772</v>
      </c>
      <c r="M15" s="10" t="s">
        <v>576</v>
      </c>
      <c r="N15" s="10" t="s">
        <v>85</v>
      </c>
      <c r="O15" s="10" t="s">
        <v>486</v>
      </c>
    </row>
    <row r="16" spans="1:15" ht="45" customHeight="1">
      <c r="A16" s="9" t="s">
        <v>784</v>
      </c>
      <c r="B16" s="9" t="s">
        <v>153</v>
      </c>
      <c r="C16" s="9" t="s">
        <v>482</v>
      </c>
      <c r="D16" s="9" t="s">
        <v>483</v>
      </c>
      <c r="E16" s="9" t="s">
        <v>487</v>
      </c>
      <c r="F16" s="9" t="s">
        <v>488</v>
      </c>
      <c r="G16" s="9" t="s">
        <v>489</v>
      </c>
      <c r="H16" s="9" t="s">
        <v>579</v>
      </c>
      <c r="I16" s="9" t="s">
        <v>580</v>
      </c>
      <c r="J16" s="9" t="s">
        <v>565</v>
      </c>
      <c r="K16" s="9">
        <v>3</v>
      </c>
      <c r="L16" s="9" t="s">
        <v>772</v>
      </c>
      <c r="M16" s="9" t="s">
        <v>583</v>
      </c>
      <c r="N16" s="9" t="s">
        <v>85</v>
      </c>
      <c r="O16" s="9" t="s">
        <v>486</v>
      </c>
    </row>
    <row r="17" spans="1:15" ht="45" customHeight="1">
      <c r="A17" s="10" t="s">
        <v>785</v>
      </c>
      <c r="B17" s="10" t="s">
        <v>153</v>
      </c>
      <c r="C17" s="10" t="s">
        <v>482</v>
      </c>
      <c r="D17" s="10" t="s">
        <v>483</v>
      </c>
      <c r="E17" s="10" t="s">
        <v>487</v>
      </c>
      <c r="F17" s="10" t="s">
        <v>488</v>
      </c>
      <c r="G17" s="10" t="s">
        <v>489</v>
      </c>
      <c r="H17" s="10" t="s">
        <v>586</v>
      </c>
      <c r="I17" s="10" t="s">
        <v>587</v>
      </c>
      <c r="J17" s="10" t="s">
        <v>565</v>
      </c>
      <c r="K17" s="10">
        <v>3</v>
      </c>
      <c r="L17" s="10" t="s">
        <v>772</v>
      </c>
      <c r="M17" s="10" t="s">
        <v>590</v>
      </c>
      <c r="N17" s="10" t="s">
        <v>85</v>
      </c>
      <c r="O17" s="10" t="s">
        <v>486</v>
      </c>
    </row>
    <row r="18" spans="1:15" ht="45" customHeight="1">
      <c r="A18" s="9" t="s">
        <v>786</v>
      </c>
      <c r="B18" s="9" t="s">
        <v>153</v>
      </c>
      <c r="C18" s="9" t="s">
        <v>482</v>
      </c>
      <c r="D18" s="9" t="s">
        <v>483</v>
      </c>
      <c r="E18" s="9" t="s">
        <v>487</v>
      </c>
      <c r="F18" s="9" t="s">
        <v>488</v>
      </c>
      <c r="G18" s="9" t="s">
        <v>489</v>
      </c>
      <c r="H18" s="9" t="s">
        <v>600</v>
      </c>
      <c r="I18" s="9" t="s">
        <v>601</v>
      </c>
      <c r="J18" s="9" t="s">
        <v>565</v>
      </c>
      <c r="K18" s="9">
        <v>3</v>
      </c>
      <c r="L18" s="9" t="s">
        <v>772</v>
      </c>
      <c r="M18" s="9" t="s">
        <v>604</v>
      </c>
      <c r="N18" s="9" t="s">
        <v>85</v>
      </c>
      <c r="O18" s="9" t="s">
        <v>486</v>
      </c>
    </row>
    <row r="19" spans="1:15" ht="45" customHeight="1">
      <c r="A19" s="10" t="s">
        <v>787</v>
      </c>
      <c r="B19" s="10" t="s">
        <v>153</v>
      </c>
      <c r="C19" s="10" t="s">
        <v>482</v>
      </c>
      <c r="D19" s="10" t="s">
        <v>483</v>
      </c>
      <c r="E19" s="10" t="s">
        <v>487</v>
      </c>
      <c r="F19" s="10" t="s">
        <v>488</v>
      </c>
      <c r="G19" s="10" t="s">
        <v>489</v>
      </c>
      <c r="H19" s="10" t="s">
        <v>607</v>
      </c>
      <c r="I19" s="10" t="s">
        <v>608</v>
      </c>
      <c r="J19" s="10" t="s">
        <v>565</v>
      </c>
      <c r="K19" s="10">
        <v>3</v>
      </c>
      <c r="L19" s="10" t="s">
        <v>772</v>
      </c>
      <c r="M19" s="10" t="s">
        <v>611</v>
      </c>
      <c r="N19" s="10" t="s">
        <v>85</v>
      </c>
      <c r="O19" s="10" t="s">
        <v>486</v>
      </c>
    </row>
    <row r="20" spans="1:15" ht="45" customHeight="1">
      <c r="A20" s="9" t="s">
        <v>788</v>
      </c>
      <c r="B20" s="9" t="s">
        <v>153</v>
      </c>
      <c r="C20" s="9" t="s">
        <v>482</v>
      </c>
      <c r="D20" s="9" t="s">
        <v>483</v>
      </c>
      <c r="E20" s="9" t="s">
        <v>487</v>
      </c>
      <c r="F20" s="9" t="s">
        <v>488</v>
      </c>
      <c r="G20" s="9" t="s">
        <v>489</v>
      </c>
      <c r="H20" s="9" t="s">
        <v>614</v>
      </c>
      <c r="I20" s="9" t="s">
        <v>615</v>
      </c>
      <c r="J20" s="9" t="s">
        <v>565</v>
      </c>
      <c r="K20" s="9">
        <v>3</v>
      </c>
      <c r="L20" s="9" t="s">
        <v>772</v>
      </c>
      <c r="M20" s="9" t="s">
        <v>618</v>
      </c>
      <c r="N20" s="9" t="s">
        <v>85</v>
      </c>
      <c r="O20" s="9" t="s">
        <v>486</v>
      </c>
    </row>
    <row r="21" spans="1:15" ht="45" customHeight="1">
      <c r="A21" s="10" t="s">
        <v>789</v>
      </c>
      <c r="B21" s="10" t="s">
        <v>153</v>
      </c>
      <c r="C21" s="10" t="s">
        <v>482</v>
      </c>
      <c r="D21" s="10" t="s">
        <v>483</v>
      </c>
      <c r="E21" s="10" t="s">
        <v>487</v>
      </c>
      <c r="F21" s="10" t="s">
        <v>488</v>
      </c>
      <c r="G21" s="10" t="s">
        <v>489</v>
      </c>
      <c r="H21" s="10" t="s">
        <v>621</v>
      </c>
      <c r="I21" s="10" t="s">
        <v>622</v>
      </c>
      <c r="J21" s="10" t="s">
        <v>565</v>
      </c>
      <c r="K21" s="10">
        <v>3</v>
      </c>
      <c r="L21" s="10" t="s">
        <v>772</v>
      </c>
      <c r="M21" s="10" t="s">
        <v>625</v>
      </c>
      <c r="N21" s="10" t="s">
        <v>85</v>
      </c>
      <c r="O21" s="10" t="s">
        <v>486</v>
      </c>
    </row>
    <row r="22" spans="1:15" ht="45" customHeight="1">
      <c r="A22" s="9" t="s">
        <v>790</v>
      </c>
      <c r="B22" s="9" t="s">
        <v>153</v>
      </c>
      <c r="C22" s="9" t="s">
        <v>482</v>
      </c>
      <c r="D22" s="9" t="s">
        <v>483</v>
      </c>
      <c r="E22" s="9" t="s">
        <v>487</v>
      </c>
      <c r="F22" s="9" t="s">
        <v>488</v>
      </c>
      <c r="G22" s="9" t="s">
        <v>489</v>
      </c>
      <c r="H22" s="9" t="s">
        <v>628</v>
      </c>
      <c r="I22" s="9" t="s">
        <v>629</v>
      </c>
      <c r="J22" s="9" t="s">
        <v>630</v>
      </c>
      <c r="K22" s="9">
        <v>3</v>
      </c>
      <c r="L22" s="9" t="s">
        <v>772</v>
      </c>
      <c r="M22" s="9" t="s">
        <v>633</v>
      </c>
      <c r="N22" s="9" t="s">
        <v>85</v>
      </c>
      <c r="O22" s="9" t="s">
        <v>486</v>
      </c>
    </row>
    <row r="23" spans="1:15" ht="45" customHeight="1">
      <c r="A23" s="10" t="s">
        <v>791</v>
      </c>
      <c r="B23" s="10" t="s">
        <v>153</v>
      </c>
      <c r="C23" s="10" t="s">
        <v>482</v>
      </c>
      <c r="D23" s="10" t="s">
        <v>483</v>
      </c>
      <c r="E23" s="10" t="s">
        <v>487</v>
      </c>
      <c r="F23" s="10" t="s">
        <v>488</v>
      </c>
      <c r="G23" s="10" t="s">
        <v>489</v>
      </c>
      <c r="H23" s="10" t="s">
        <v>636</v>
      </c>
      <c r="I23" s="10" t="s">
        <v>637</v>
      </c>
      <c r="J23" s="10" t="s">
        <v>630</v>
      </c>
      <c r="K23" s="10">
        <v>3</v>
      </c>
      <c r="L23" s="10" t="s">
        <v>772</v>
      </c>
      <c r="M23" s="10" t="s">
        <v>640</v>
      </c>
      <c r="N23" s="10" t="s">
        <v>85</v>
      </c>
      <c r="O23" s="10" t="s">
        <v>486</v>
      </c>
    </row>
    <row r="24" spans="1:15" ht="45" customHeight="1">
      <c r="A24" s="9" t="s">
        <v>792</v>
      </c>
      <c r="B24" s="9" t="s">
        <v>153</v>
      </c>
      <c r="C24" s="9" t="s">
        <v>482</v>
      </c>
      <c r="D24" s="9" t="s">
        <v>483</v>
      </c>
      <c r="E24" s="9" t="s">
        <v>490</v>
      </c>
      <c r="F24" s="9" t="s">
        <v>491</v>
      </c>
      <c r="G24" s="9" t="s">
        <v>485</v>
      </c>
      <c r="H24" s="9" t="s">
        <v>563</v>
      </c>
      <c r="I24" s="9" t="s">
        <v>564</v>
      </c>
      <c r="J24" s="9" t="s">
        <v>565</v>
      </c>
      <c r="K24" s="9">
        <v>3</v>
      </c>
      <c r="L24" s="9" t="s">
        <v>772</v>
      </c>
      <c r="M24" s="9" t="s">
        <v>568</v>
      </c>
      <c r="N24" s="9" t="s">
        <v>85</v>
      </c>
      <c r="O24" s="9" t="s">
        <v>486</v>
      </c>
    </row>
    <row r="25" spans="1:15" ht="45" customHeight="1">
      <c r="A25" s="10" t="s">
        <v>793</v>
      </c>
      <c r="B25" s="10" t="s">
        <v>153</v>
      </c>
      <c r="C25" s="10" t="s">
        <v>482</v>
      </c>
      <c r="D25" s="10" t="s">
        <v>483</v>
      </c>
      <c r="E25" s="10" t="s">
        <v>490</v>
      </c>
      <c r="F25" s="10" t="s">
        <v>491</v>
      </c>
      <c r="G25" s="10" t="s">
        <v>485</v>
      </c>
      <c r="H25" s="10" t="s">
        <v>593</v>
      </c>
      <c r="I25" s="10" t="s">
        <v>594</v>
      </c>
      <c r="J25" s="10" t="s">
        <v>565</v>
      </c>
      <c r="K25" s="10">
        <v>3</v>
      </c>
      <c r="L25" s="10" t="s">
        <v>772</v>
      </c>
      <c r="M25" s="10" t="s">
        <v>597</v>
      </c>
      <c r="N25" s="10" t="s">
        <v>85</v>
      </c>
      <c r="O25" s="10" t="s">
        <v>486</v>
      </c>
    </row>
    <row r="26" spans="1:15" ht="45" customHeight="1">
      <c r="A26" s="9" t="s">
        <v>794</v>
      </c>
      <c r="B26" s="9" t="s">
        <v>153</v>
      </c>
      <c r="C26" s="9" t="s">
        <v>482</v>
      </c>
      <c r="D26" s="9" t="s">
        <v>483</v>
      </c>
      <c r="E26" s="9" t="s">
        <v>490</v>
      </c>
      <c r="F26" s="9" t="s">
        <v>491</v>
      </c>
      <c r="G26" s="9" t="s">
        <v>485</v>
      </c>
      <c r="H26" s="9" t="s">
        <v>621</v>
      </c>
      <c r="I26" s="9" t="s">
        <v>622</v>
      </c>
      <c r="J26" s="9" t="s">
        <v>565</v>
      </c>
      <c r="K26" s="9">
        <v>3</v>
      </c>
      <c r="L26" s="9" t="s">
        <v>772</v>
      </c>
      <c r="M26" s="9" t="s">
        <v>625</v>
      </c>
      <c r="N26" s="9" t="s">
        <v>85</v>
      </c>
      <c r="O26" s="9" t="s">
        <v>486</v>
      </c>
    </row>
    <row r="27" spans="1:15" ht="45" customHeight="1">
      <c r="A27" s="10" t="s">
        <v>795</v>
      </c>
      <c r="B27" s="10" t="s">
        <v>153</v>
      </c>
      <c r="C27" s="10" t="s">
        <v>482</v>
      </c>
      <c r="D27" s="10" t="s">
        <v>483</v>
      </c>
      <c r="E27" s="10" t="s">
        <v>490</v>
      </c>
      <c r="F27" s="10" t="s">
        <v>491</v>
      </c>
      <c r="G27" s="10" t="s">
        <v>485</v>
      </c>
      <c r="H27" s="10" t="s">
        <v>628</v>
      </c>
      <c r="I27" s="10" t="s">
        <v>629</v>
      </c>
      <c r="J27" s="10" t="s">
        <v>630</v>
      </c>
      <c r="K27" s="10">
        <v>3</v>
      </c>
      <c r="L27" s="10" t="s">
        <v>772</v>
      </c>
      <c r="M27" s="10" t="s">
        <v>633</v>
      </c>
      <c r="N27" s="10" t="s">
        <v>85</v>
      </c>
      <c r="O27" s="10" t="s">
        <v>486</v>
      </c>
    </row>
    <row r="28" spans="1:15" ht="45" customHeight="1">
      <c r="A28" s="9" t="s">
        <v>796</v>
      </c>
      <c r="B28" s="9" t="s">
        <v>153</v>
      </c>
      <c r="C28" s="9" t="s">
        <v>482</v>
      </c>
      <c r="D28" s="9" t="s">
        <v>483</v>
      </c>
      <c r="E28" s="9" t="s">
        <v>490</v>
      </c>
      <c r="F28" s="9" t="s">
        <v>491</v>
      </c>
      <c r="G28" s="9" t="s">
        <v>485</v>
      </c>
      <c r="H28" s="9" t="s">
        <v>636</v>
      </c>
      <c r="I28" s="9" t="s">
        <v>637</v>
      </c>
      <c r="J28" s="9" t="s">
        <v>630</v>
      </c>
      <c r="K28" s="9">
        <v>3</v>
      </c>
      <c r="L28" s="9" t="s">
        <v>772</v>
      </c>
      <c r="M28" s="9" t="s">
        <v>640</v>
      </c>
      <c r="N28" s="9" t="s">
        <v>85</v>
      </c>
      <c r="O28" s="9" t="s">
        <v>486</v>
      </c>
    </row>
    <row r="29" spans="1:15" ht="45" customHeight="1">
      <c r="A29" s="10" t="s">
        <v>797</v>
      </c>
      <c r="B29" s="10" t="s">
        <v>153</v>
      </c>
      <c r="C29" s="10" t="s">
        <v>482</v>
      </c>
      <c r="D29" s="10" t="s">
        <v>483</v>
      </c>
      <c r="E29" s="10" t="s">
        <v>490</v>
      </c>
      <c r="F29" s="10" t="s">
        <v>491</v>
      </c>
      <c r="G29" s="10" t="s">
        <v>485</v>
      </c>
      <c r="H29" s="10" t="s">
        <v>643</v>
      </c>
      <c r="I29" s="10" t="s">
        <v>644</v>
      </c>
      <c r="J29" s="10" t="s">
        <v>630</v>
      </c>
      <c r="K29" s="10">
        <v>3</v>
      </c>
      <c r="L29" s="10" t="s">
        <v>772</v>
      </c>
      <c r="M29" s="10" t="s">
        <v>647</v>
      </c>
      <c r="N29" s="10" t="s">
        <v>85</v>
      </c>
      <c r="O29" s="10" t="s">
        <v>486</v>
      </c>
    </row>
    <row r="30" spans="1:15" ht="45" customHeight="1">
      <c r="A30" s="9" t="s">
        <v>798</v>
      </c>
      <c r="B30" s="9" t="s">
        <v>153</v>
      </c>
      <c r="C30" s="9" t="s">
        <v>482</v>
      </c>
      <c r="D30" s="9" t="s">
        <v>483</v>
      </c>
      <c r="E30" s="9" t="s">
        <v>490</v>
      </c>
      <c r="F30" s="9" t="s">
        <v>491</v>
      </c>
      <c r="G30" s="9" t="s">
        <v>485</v>
      </c>
      <c r="H30" s="9" t="s">
        <v>650</v>
      </c>
      <c r="I30" s="9" t="s">
        <v>651</v>
      </c>
      <c r="J30" s="9" t="s">
        <v>630</v>
      </c>
      <c r="K30" s="9">
        <v>3</v>
      </c>
      <c r="L30" s="9" t="s">
        <v>772</v>
      </c>
      <c r="M30" s="9" t="s">
        <v>654</v>
      </c>
      <c r="N30" s="9" t="s">
        <v>85</v>
      </c>
      <c r="O30" s="9" t="s">
        <v>486</v>
      </c>
    </row>
    <row r="31" spans="1:15" ht="45" customHeight="1">
      <c r="A31" s="10" t="s">
        <v>799</v>
      </c>
      <c r="B31" s="10" t="s">
        <v>153</v>
      </c>
      <c r="C31" s="10" t="s">
        <v>482</v>
      </c>
      <c r="D31" s="10" t="s">
        <v>483</v>
      </c>
      <c r="E31" s="10" t="s">
        <v>490</v>
      </c>
      <c r="F31" s="10" t="s">
        <v>491</v>
      </c>
      <c r="G31" s="10" t="s">
        <v>485</v>
      </c>
      <c r="H31" s="10" t="s">
        <v>657</v>
      </c>
      <c r="I31" s="10" t="s">
        <v>658</v>
      </c>
      <c r="J31" s="10" t="s">
        <v>630</v>
      </c>
      <c r="K31" s="10">
        <v>3</v>
      </c>
      <c r="L31" s="10" t="s">
        <v>772</v>
      </c>
      <c r="M31" s="10" t="s">
        <v>661</v>
      </c>
      <c r="N31" s="10" t="s">
        <v>85</v>
      </c>
      <c r="O31" s="10" t="s">
        <v>486</v>
      </c>
    </row>
    <row r="32" spans="1:15" ht="45" customHeight="1">
      <c r="A32" s="9" t="s">
        <v>800</v>
      </c>
      <c r="B32" s="9" t="s">
        <v>153</v>
      </c>
      <c r="C32" s="9" t="s">
        <v>482</v>
      </c>
      <c r="D32" s="9" t="s">
        <v>483</v>
      </c>
      <c r="E32" s="9" t="s">
        <v>490</v>
      </c>
      <c r="F32" s="9" t="s">
        <v>491</v>
      </c>
      <c r="G32" s="9" t="s">
        <v>485</v>
      </c>
      <c r="H32" s="9" t="s">
        <v>664</v>
      </c>
      <c r="I32" s="9" t="s">
        <v>665</v>
      </c>
      <c r="J32" s="9" t="s">
        <v>630</v>
      </c>
      <c r="K32" s="9">
        <v>3</v>
      </c>
      <c r="L32" s="9" t="s">
        <v>772</v>
      </c>
      <c r="M32" s="9" t="s">
        <v>668</v>
      </c>
      <c r="N32" s="9" t="s">
        <v>85</v>
      </c>
      <c r="O32" s="9" t="s">
        <v>486</v>
      </c>
    </row>
    <row r="33" spans="1:15" ht="45" customHeight="1">
      <c r="A33" s="10" t="s">
        <v>801</v>
      </c>
      <c r="B33" s="10" t="s">
        <v>153</v>
      </c>
      <c r="C33" s="10" t="s">
        <v>482</v>
      </c>
      <c r="D33" s="10" t="s">
        <v>483</v>
      </c>
      <c r="E33" s="10" t="s">
        <v>490</v>
      </c>
      <c r="F33" s="10" t="s">
        <v>491</v>
      </c>
      <c r="G33" s="10" t="s">
        <v>485</v>
      </c>
      <c r="H33" s="10" t="s">
        <v>671</v>
      </c>
      <c r="I33" s="10" t="s">
        <v>672</v>
      </c>
      <c r="J33" s="10" t="s">
        <v>630</v>
      </c>
      <c r="K33" s="10">
        <v>3</v>
      </c>
      <c r="L33" s="10" t="s">
        <v>772</v>
      </c>
      <c r="M33" s="10" t="s">
        <v>675</v>
      </c>
      <c r="N33" s="10" t="s">
        <v>85</v>
      </c>
      <c r="O33" s="10" t="s">
        <v>486</v>
      </c>
    </row>
    <row r="34" spans="1:15" ht="45" customHeight="1">
      <c r="A34" s="9" t="s">
        <v>802</v>
      </c>
      <c r="B34" s="9" t="s">
        <v>153</v>
      </c>
      <c r="C34" s="9" t="s">
        <v>493</v>
      </c>
      <c r="D34" s="9" t="s">
        <v>494</v>
      </c>
      <c r="E34" s="9" t="s">
        <v>497</v>
      </c>
      <c r="F34" s="9" t="s">
        <v>498</v>
      </c>
      <c r="G34" s="9" t="s">
        <v>499</v>
      </c>
      <c r="H34" s="9" t="s">
        <v>678</v>
      </c>
      <c r="I34" s="9" t="s">
        <v>564</v>
      </c>
      <c r="J34" s="9" t="s">
        <v>565</v>
      </c>
      <c r="K34" s="9">
        <v>4</v>
      </c>
      <c r="L34" s="9" t="s">
        <v>764</v>
      </c>
      <c r="M34" s="9" t="s">
        <v>569</v>
      </c>
      <c r="N34" s="9" t="s">
        <v>101</v>
      </c>
      <c r="O34" s="9" t="s">
        <v>496</v>
      </c>
    </row>
    <row r="35" spans="1:15" ht="45" customHeight="1">
      <c r="A35" s="10" t="s">
        <v>803</v>
      </c>
      <c r="B35" s="10" t="s">
        <v>153</v>
      </c>
      <c r="C35" s="10" t="s">
        <v>493</v>
      </c>
      <c r="D35" s="10" t="s">
        <v>494</v>
      </c>
      <c r="E35" s="10" t="s">
        <v>497</v>
      </c>
      <c r="F35" s="10" t="s">
        <v>498</v>
      </c>
      <c r="G35" s="10" t="s">
        <v>499</v>
      </c>
      <c r="H35" s="10" t="s">
        <v>683</v>
      </c>
      <c r="I35" s="10" t="s">
        <v>684</v>
      </c>
      <c r="J35" s="10" t="s">
        <v>565</v>
      </c>
      <c r="K35" s="10">
        <v>4</v>
      </c>
      <c r="L35" s="10" t="s">
        <v>764</v>
      </c>
      <c r="M35" s="10" t="s">
        <v>688</v>
      </c>
      <c r="N35" s="10" t="s">
        <v>101</v>
      </c>
      <c r="O35" s="10" t="s">
        <v>496</v>
      </c>
    </row>
    <row r="36" spans="1:15" ht="45" customHeight="1">
      <c r="A36" s="9" t="s">
        <v>804</v>
      </c>
      <c r="B36" s="9" t="s">
        <v>153</v>
      </c>
      <c r="C36" s="9" t="s">
        <v>493</v>
      </c>
      <c r="D36" s="9" t="s">
        <v>494</v>
      </c>
      <c r="E36" s="9" t="s">
        <v>497</v>
      </c>
      <c r="F36" s="9" t="s">
        <v>498</v>
      </c>
      <c r="G36" s="9" t="s">
        <v>499</v>
      </c>
      <c r="H36" s="9" t="s">
        <v>690</v>
      </c>
      <c r="I36" s="9" t="s">
        <v>691</v>
      </c>
      <c r="J36" s="9" t="s">
        <v>565</v>
      </c>
      <c r="K36" s="9">
        <v>4</v>
      </c>
      <c r="L36" s="9" t="s">
        <v>764</v>
      </c>
      <c r="M36" s="9" t="s">
        <v>695</v>
      </c>
      <c r="N36" s="9" t="s">
        <v>101</v>
      </c>
      <c r="O36" s="9" t="s">
        <v>496</v>
      </c>
    </row>
    <row r="37" spans="1:15" ht="45" customHeight="1">
      <c r="A37" s="10" t="s">
        <v>805</v>
      </c>
      <c r="B37" s="10" t="s">
        <v>153</v>
      </c>
      <c r="C37" s="10" t="s">
        <v>493</v>
      </c>
      <c r="D37" s="10" t="s">
        <v>494</v>
      </c>
      <c r="E37" s="10" t="s">
        <v>497</v>
      </c>
      <c r="F37" s="10" t="s">
        <v>498</v>
      </c>
      <c r="G37" s="10" t="s">
        <v>499</v>
      </c>
      <c r="H37" s="10" t="s">
        <v>697</v>
      </c>
      <c r="I37" s="10" t="s">
        <v>698</v>
      </c>
      <c r="J37" s="10" t="s">
        <v>565</v>
      </c>
      <c r="K37" s="10">
        <v>4</v>
      </c>
      <c r="L37" s="10" t="s">
        <v>764</v>
      </c>
      <c r="M37" s="10" t="s">
        <v>702</v>
      </c>
      <c r="N37" s="10" t="s">
        <v>101</v>
      </c>
      <c r="O37" s="10" t="s">
        <v>496</v>
      </c>
    </row>
    <row r="38" spans="1:15" ht="45" customHeight="1">
      <c r="A38" s="9" t="s">
        <v>806</v>
      </c>
      <c r="B38" s="9" t="s">
        <v>153</v>
      </c>
      <c r="C38" s="9" t="s">
        <v>493</v>
      </c>
      <c r="D38" s="9" t="s">
        <v>494</v>
      </c>
      <c r="E38" s="9" t="s">
        <v>497</v>
      </c>
      <c r="F38" s="9" t="s">
        <v>498</v>
      </c>
      <c r="G38" s="9" t="s">
        <v>499</v>
      </c>
      <c r="H38" s="9" t="s">
        <v>704</v>
      </c>
      <c r="I38" s="9" t="s">
        <v>705</v>
      </c>
      <c r="J38" s="9" t="s">
        <v>565</v>
      </c>
      <c r="K38" s="9">
        <v>4</v>
      </c>
      <c r="L38" s="9" t="s">
        <v>764</v>
      </c>
      <c r="M38" s="9" t="s">
        <v>709</v>
      </c>
      <c r="N38" s="9" t="s">
        <v>101</v>
      </c>
      <c r="O38" s="9" t="s">
        <v>496</v>
      </c>
    </row>
    <row r="39" spans="1:15" ht="45" customHeight="1">
      <c r="A39" s="10" t="s">
        <v>807</v>
      </c>
      <c r="B39" s="10" t="s">
        <v>153</v>
      </c>
      <c r="C39" s="10" t="s">
        <v>493</v>
      </c>
      <c r="D39" s="10" t="s">
        <v>494</v>
      </c>
      <c r="E39" s="10" t="s">
        <v>497</v>
      </c>
      <c r="F39" s="10" t="s">
        <v>498</v>
      </c>
      <c r="G39" s="10" t="s">
        <v>499</v>
      </c>
      <c r="H39" s="10" t="s">
        <v>711</v>
      </c>
      <c r="I39" s="10" t="s">
        <v>712</v>
      </c>
      <c r="J39" s="10" t="s">
        <v>565</v>
      </c>
      <c r="K39" s="10">
        <v>4</v>
      </c>
      <c r="L39" s="10" t="s">
        <v>764</v>
      </c>
      <c r="M39" s="10" t="s">
        <v>716</v>
      </c>
      <c r="N39" s="10" t="s">
        <v>101</v>
      </c>
      <c r="O39" s="10" t="s">
        <v>496</v>
      </c>
    </row>
    <row r="40" spans="1:15" ht="45" customHeight="1">
      <c r="A40" s="9" t="s">
        <v>808</v>
      </c>
      <c r="B40" s="9" t="s">
        <v>153</v>
      </c>
      <c r="C40" s="9" t="s">
        <v>493</v>
      </c>
      <c r="D40" s="9" t="s">
        <v>494</v>
      </c>
      <c r="E40" s="9" t="s">
        <v>497</v>
      </c>
      <c r="F40" s="9" t="s">
        <v>498</v>
      </c>
      <c r="G40" s="9" t="s">
        <v>499</v>
      </c>
      <c r="H40" s="9" t="s">
        <v>718</v>
      </c>
      <c r="I40" s="9" t="s">
        <v>719</v>
      </c>
      <c r="J40" s="9" t="s">
        <v>565</v>
      </c>
      <c r="K40" s="9">
        <v>4</v>
      </c>
      <c r="L40" s="9" t="s">
        <v>764</v>
      </c>
      <c r="M40" s="9" t="s">
        <v>723</v>
      </c>
      <c r="N40" s="9" t="s">
        <v>101</v>
      </c>
      <c r="O40" s="9" t="s">
        <v>496</v>
      </c>
    </row>
    <row r="41" spans="1:15" ht="45" customHeight="1">
      <c r="A41" s="10" t="s">
        <v>809</v>
      </c>
      <c r="B41" s="10" t="s">
        <v>153</v>
      </c>
      <c r="C41" s="10" t="s">
        <v>493</v>
      </c>
      <c r="D41" s="10" t="s">
        <v>494</v>
      </c>
      <c r="E41" s="10" t="s">
        <v>497</v>
      </c>
      <c r="F41" s="10" t="s">
        <v>498</v>
      </c>
      <c r="G41" s="10" t="s">
        <v>499</v>
      </c>
      <c r="H41" s="10" t="s">
        <v>725</v>
      </c>
      <c r="I41" s="10" t="s">
        <v>726</v>
      </c>
      <c r="J41" s="10" t="s">
        <v>565</v>
      </c>
      <c r="K41" s="10">
        <v>4</v>
      </c>
      <c r="L41" s="10" t="s">
        <v>764</v>
      </c>
      <c r="M41" s="10" t="s">
        <v>626</v>
      </c>
      <c r="N41" s="10" t="s">
        <v>101</v>
      </c>
      <c r="O41" s="10" t="s">
        <v>496</v>
      </c>
    </row>
    <row r="42" spans="1:15" ht="45" customHeight="1">
      <c r="A42" s="9" t="s">
        <v>810</v>
      </c>
      <c r="B42" s="9" t="s">
        <v>153</v>
      </c>
      <c r="C42" s="9" t="s">
        <v>493</v>
      </c>
      <c r="D42" s="9" t="s">
        <v>494</v>
      </c>
      <c r="E42" s="9" t="s">
        <v>497</v>
      </c>
      <c r="F42" s="9" t="s">
        <v>498</v>
      </c>
      <c r="G42" s="9" t="s">
        <v>499</v>
      </c>
      <c r="H42" s="9" t="s">
        <v>729</v>
      </c>
      <c r="I42" s="9" t="s">
        <v>629</v>
      </c>
      <c r="J42" s="9" t="s">
        <v>630</v>
      </c>
      <c r="K42" s="9">
        <v>4</v>
      </c>
      <c r="L42" s="9" t="s">
        <v>764</v>
      </c>
      <c r="M42" s="9" t="s">
        <v>634</v>
      </c>
      <c r="N42" s="9" t="s">
        <v>101</v>
      </c>
      <c r="O42" s="9" t="s">
        <v>496</v>
      </c>
    </row>
    <row r="43" spans="1:15" ht="45" customHeight="1">
      <c r="A43" s="10" t="s">
        <v>811</v>
      </c>
      <c r="B43" s="10" t="s">
        <v>153</v>
      </c>
      <c r="C43" s="10" t="s">
        <v>493</v>
      </c>
      <c r="D43" s="10" t="s">
        <v>494</v>
      </c>
      <c r="E43" s="10" t="s">
        <v>497</v>
      </c>
      <c r="F43" s="10" t="s">
        <v>498</v>
      </c>
      <c r="G43" s="10" t="s">
        <v>499</v>
      </c>
      <c r="H43" s="10" t="s">
        <v>730</v>
      </c>
      <c r="I43" s="10" t="s">
        <v>731</v>
      </c>
      <c r="J43" s="10" t="s">
        <v>630</v>
      </c>
      <c r="K43" s="10">
        <v>4</v>
      </c>
      <c r="L43" s="10" t="s">
        <v>764</v>
      </c>
      <c r="M43" s="10" t="s">
        <v>641</v>
      </c>
      <c r="N43" s="10" t="s">
        <v>101</v>
      </c>
      <c r="O43" s="10" t="s">
        <v>496</v>
      </c>
    </row>
    <row r="44" spans="1:15" ht="45" customHeight="1">
      <c r="A44" s="9" t="s">
        <v>812</v>
      </c>
      <c r="B44" s="9" t="s">
        <v>153</v>
      </c>
      <c r="C44" s="9" t="s">
        <v>493</v>
      </c>
      <c r="D44" s="9" t="s">
        <v>494</v>
      </c>
      <c r="E44" s="9" t="s">
        <v>492</v>
      </c>
      <c r="F44" s="9" t="s">
        <v>495</v>
      </c>
      <c r="G44" s="9" t="s">
        <v>485</v>
      </c>
      <c r="H44" s="9" t="s">
        <v>678</v>
      </c>
      <c r="I44" s="9" t="s">
        <v>564</v>
      </c>
      <c r="J44" s="9" t="s">
        <v>565</v>
      </c>
      <c r="K44" s="9">
        <v>3</v>
      </c>
      <c r="L44" s="9" t="s">
        <v>772</v>
      </c>
      <c r="M44" s="9" t="s">
        <v>681</v>
      </c>
      <c r="N44" s="9" t="s">
        <v>101</v>
      </c>
      <c r="O44" s="9" t="s">
        <v>496</v>
      </c>
    </row>
    <row r="45" spans="1:15" ht="45" customHeight="1">
      <c r="A45" s="10" t="s">
        <v>813</v>
      </c>
      <c r="B45" s="10" t="s">
        <v>153</v>
      </c>
      <c r="C45" s="10" t="s">
        <v>493</v>
      </c>
      <c r="D45" s="10" t="s">
        <v>494</v>
      </c>
      <c r="E45" s="10" t="s">
        <v>492</v>
      </c>
      <c r="F45" s="10" t="s">
        <v>495</v>
      </c>
      <c r="G45" s="10" t="s">
        <v>485</v>
      </c>
      <c r="H45" s="10" t="s">
        <v>683</v>
      </c>
      <c r="I45" s="10" t="s">
        <v>684</v>
      </c>
      <c r="J45" s="10" t="s">
        <v>565</v>
      </c>
      <c r="K45" s="10">
        <v>3</v>
      </c>
      <c r="L45" s="10" t="s">
        <v>772</v>
      </c>
      <c r="M45" s="10" t="s">
        <v>687</v>
      </c>
      <c r="N45" s="10" t="s">
        <v>101</v>
      </c>
      <c r="O45" s="10" t="s">
        <v>496</v>
      </c>
    </row>
    <row r="46" spans="1:15" ht="45" customHeight="1">
      <c r="A46" s="9" t="s">
        <v>814</v>
      </c>
      <c r="B46" s="9" t="s">
        <v>153</v>
      </c>
      <c r="C46" s="9" t="s">
        <v>493</v>
      </c>
      <c r="D46" s="9" t="s">
        <v>494</v>
      </c>
      <c r="E46" s="9" t="s">
        <v>492</v>
      </c>
      <c r="F46" s="9" t="s">
        <v>495</v>
      </c>
      <c r="G46" s="9" t="s">
        <v>485</v>
      </c>
      <c r="H46" s="9" t="s">
        <v>690</v>
      </c>
      <c r="I46" s="9" t="s">
        <v>691</v>
      </c>
      <c r="J46" s="9" t="s">
        <v>565</v>
      </c>
      <c r="K46" s="9">
        <v>3</v>
      </c>
      <c r="L46" s="9" t="s">
        <v>772</v>
      </c>
      <c r="M46" s="9" t="s">
        <v>694</v>
      </c>
      <c r="N46" s="9" t="s">
        <v>101</v>
      </c>
      <c r="O46" s="9" t="s">
        <v>496</v>
      </c>
    </row>
    <row r="47" spans="1:15" ht="45" customHeight="1">
      <c r="A47" s="10" t="s">
        <v>815</v>
      </c>
      <c r="B47" s="10" t="s">
        <v>153</v>
      </c>
      <c r="C47" s="10" t="s">
        <v>493</v>
      </c>
      <c r="D47" s="10" t="s">
        <v>494</v>
      </c>
      <c r="E47" s="10" t="s">
        <v>492</v>
      </c>
      <c r="F47" s="10" t="s">
        <v>495</v>
      </c>
      <c r="G47" s="10" t="s">
        <v>485</v>
      </c>
      <c r="H47" s="10" t="s">
        <v>697</v>
      </c>
      <c r="I47" s="10" t="s">
        <v>698</v>
      </c>
      <c r="J47" s="10" t="s">
        <v>565</v>
      </c>
      <c r="K47" s="10">
        <v>3</v>
      </c>
      <c r="L47" s="10" t="s">
        <v>772</v>
      </c>
      <c r="M47" s="10" t="s">
        <v>701</v>
      </c>
      <c r="N47" s="10" t="s">
        <v>101</v>
      </c>
      <c r="O47" s="10" t="s">
        <v>496</v>
      </c>
    </row>
    <row r="48" spans="1:15" ht="45" customHeight="1">
      <c r="A48" s="9" t="s">
        <v>816</v>
      </c>
      <c r="B48" s="9" t="s">
        <v>153</v>
      </c>
      <c r="C48" s="9" t="s">
        <v>493</v>
      </c>
      <c r="D48" s="9" t="s">
        <v>494</v>
      </c>
      <c r="E48" s="9" t="s">
        <v>492</v>
      </c>
      <c r="F48" s="9" t="s">
        <v>495</v>
      </c>
      <c r="G48" s="9" t="s">
        <v>485</v>
      </c>
      <c r="H48" s="9" t="s">
        <v>704</v>
      </c>
      <c r="I48" s="9" t="s">
        <v>705</v>
      </c>
      <c r="J48" s="9" t="s">
        <v>565</v>
      </c>
      <c r="K48" s="9">
        <v>3</v>
      </c>
      <c r="L48" s="9" t="s">
        <v>772</v>
      </c>
      <c r="M48" s="9" t="s">
        <v>708</v>
      </c>
      <c r="N48" s="9" t="s">
        <v>101</v>
      </c>
      <c r="O48" s="9" t="s">
        <v>496</v>
      </c>
    </row>
    <row r="49" spans="1:15" ht="45" customHeight="1">
      <c r="A49" s="10" t="s">
        <v>817</v>
      </c>
      <c r="B49" s="10" t="s">
        <v>153</v>
      </c>
      <c r="C49" s="10" t="s">
        <v>493</v>
      </c>
      <c r="D49" s="10" t="s">
        <v>494</v>
      </c>
      <c r="E49" s="10" t="s">
        <v>492</v>
      </c>
      <c r="F49" s="10" t="s">
        <v>495</v>
      </c>
      <c r="G49" s="10" t="s">
        <v>485</v>
      </c>
      <c r="H49" s="10" t="s">
        <v>711</v>
      </c>
      <c r="I49" s="10" t="s">
        <v>712</v>
      </c>
      <c r="J49" s="10" t="s">
        <v>565</v>
      </c>
      <c r="K49" s="10">
        <v>3</v>
      </c>
      <c r="L49" s="10" t="s">
        <v>772</v>
      </c>
      <c r="M49" s="10" t="s">
        <v>715</v>
      </c>
      <c r="N49" s="10" t="s">
        <v>101</v>
      </c>
      <c r="O49" s="10" t="s">
        <v>496</v>
      </c>
    </row>
    <row r="50" spans="1:15" ht="45" customHeight="1">
      <c r="A50" s="9" t="s">
        <v>818</v>
      </c>
      <c r="B50" s="9" t="s">
        <v>153</v>
      </c>
      <c r="C50" s="9" t="s">
        <v>493</v>
      </c>
      <c r="D50" s="9" t="s">
        <v>494</v>
      </c>
      <c r="E50" s="9" t="s">
        <v>492</v>
      </c>
      <c r="F50" s="9" t="s">
        <v>495</v>
      </c>
      <c r="G50" s="9" t="s">
        <v>485</v>
      </c>
      <c r="H50" s="9" t="s">
        <v>718</v>
      </c>
      <c r="I50" s="9" t="s">
        <v>719</v>
      </c>
      <c r="J50" s="9" t="s">
        <v>565</v>
      </c>
      <c r="K50" s="9">
        <v>3</v>
      </c>
      <c r="L50" s="9" t="s">
        <v>772</v>
      </c>
      <c r="M50" s="9" t="s">
        <v>722</v>
      </c>
      <c r="N50" s="9" t="s">
        <v>101</v>
      </c>
      <c r="O50" s="9" t="s">
        <v>496</v>
      </c>
    </row>
    <row r="51" spans="1:15" ht="45" customHeight="1">
      <c r="A51" s="10" t="s">
        <v>819</v>
      </c>
      <c r="B51" s="10" t="s">
        <v>153</v>
      </c>
      <c r="C51" s="10" t="s">
        <v>493</v>
      </c>
      <c r="D51" s="10" t="s">
        <v>494</v>
      </c>
      <c r="E51" s="10" t="s">
        <v>492</v>
      </c>
      <c r="F51" s="10" t="s">
        <v>495</v>
      </c>
      <c r="G51" s="10" t="s">
        <v>485</v>
      </c>
      <c r="H51" s="10" t="s">
        <v>725</v>
      </c>
      <c r="I51" s="10" t="s">
        <v>726</v>
      </c>
      <c r="J51" s="10" t="s">
        <v>565</v>
      </c>
      <c r="K51" s="10">
        <v>3</v>
      </c>
      <c r="L51" s="10" t="s">
        <v>772</v>
      </c>
      <c r="M51" s="10" t="s">
        <v>625</v>
      </c>
      <c r="N51" s="10" t="s">
        <v>101</v>
      </c>
      <c r="O51" s="10" t="s">
        <v>496</v>
      </c>
    </row>
    <row r="52" spans="1:15" ht="45" customHeight="1">
      <c r="A52" s="9" t="s">
        <v>820</v>
      </c>
      <c r="B52" s="9" t="s">
        <v>153</v>
      </c>
      <c r="C52" s="9" t="s">
        <v>493</v>
      </c>
      <c r="D52" s="9" t="s">
        <v>494</v>
      </c>
      <c r="E52" s="9" t="s">
        <v>492</v>
      </c>
      <c r="F52" s="9" t="s">
        <v>495</v>
      </c>
      <c r="G52" s="9" t="s">
        <v>485</v>
      </c>
      <c r="H52" s="9" t="s">
        <v>729</v>
      </c>
      <c r="I52" s="9" t="s">
        <v>629</v>
      </c>
      <c r="J52" s="9" t="s">
        <v>630</v>
      </c>
      <c r="K52" s="9">
        <v>3</v>
      </c>
      <c r="L52" s="9" t="s">
        <v>772</v>
      </c>
      <c r="M52" s="9" t="s">
        <v>633</v>
      </c>
      <c r="N52" s="9" t="s">
        <v>101</v>
      </c>
      <c r="O52" s="9" t="s">
        <v>496</v>
      </c>
    </row>
    <row r="53" spans="1:15" ht="45" customHeight="1">
      <c r="A53" s="10" t="s">
        <v>821</v>
      </c>
      <c r="B53" s="10" t="s">
        <v>153</v>
      </c>
      <c r="C53" s="10" t="s">
        <v>493</v>
      </c>
      <c r="D53" s="10" t="s">
        <v>494</v>
      </c>
      <c r="E53" s="10" t="s">
        <v>492</v>
      </c>
      <c r="F53" s="10" t="s">
        <v>495</v>
      </c>
      <c r="G53" s="10" t="s">
        <v>485</v>
      </c>
      <c r="H53" s="10" t="s">
        <v>730</v>
      </c>
      <c r="I53" s="10" t="s">
        <v>731</v>
      </c>
      <c r="J53" s="10" t="s">
        <v>630</v>
      </c>
      <c r="K53" s="10">
        <v>3</v>
      </c>
      <c r="L53" s="10" t="s">
        <v>772</v>
      </c>
      <c r="M53" s="10" t="s">
        <v>734</v>
      </c>
      <c r="N53" s="10" t="s">
        <v>101</v>
      </c>
      <c r="O53" s="10" t="s">
        <v>496</v>
      </c>
    </row>
    <row r="54" spans="1:15" ht="45" customHeight="1">
      <c r="A54" s="9" t="s">
        <v>822</v>
      </c>
      <c r="B54" s="9" t="s">
        <v>153</v>
      </c>
      <c r="C54" s="9" t="s">
        <v>493</v>
      </c>
      <c r="D54" s="9" t="s">
        <v>494</v>
      </c>
      <c r="E54" s="9" t="s">
        <v>500</v>
      </c>
      <c r="F54" s="9" t="s">
        <v>501</v>
      </c>
      <c r="G54" s="9" t="s">
        <v>489</v>
      </c>
      <c r="H54" s="9" t="s">
        <v>678</v>
      </c>
      <c r="I54" s="9" t="s">
        <v>564</v>
      </c>
      <c r="J54" s="9" t="s">
        <v>565</v>
      </c>
      <c r="K54" s="9">
        <v>3</v>
      </c>
      <c r="L54" s="9" t="s">
        <v>772</v>
      </c>
      <c r="M54" s="9" t="s">
        <v>681</v>
      </c>
      <c r="N54" s="9" t="s">
        <v>101</v>
      </c>
      <c r="O54" s="9" t="s">
        <v>496</v>
      </c>
    </row>
    <row r="55" spans="1:15" ht="45" customHeight="1">
      <c r="A55" s="10" t="s">
        <v>823</v>
      </c>
      <c r="B55" s="10" t="s">
        <v>153</v>
      </c>
      <c r="C55" s="10" t="s">
        <v>493</v>
      </c>
      <c r="D55" s="10" t="s">
        <v>494</v>
      </c>
      <c r="E55" s="10" t="s">
        <v>500</v>
      </c>
      <c r="F55" s="10" t="s">
        <v>501</v>
      </c>
      <c r="G55" s="10" t="s">
        <v>489</v>
      </c>
      <c r="H55" s="10" t="s">
        <v>683</v>
      </c>
      <c r="I55" s="10" t="s">
        <v>684</v>
      </c>
      <c r="J55" s="10" t="s">
        <v>565</v>
      </c>
      <c r="K55" s="10">
        <v>3</v>
      </c>
      <c r="L55" s="10" t="s">
        <v>772</v>
      </c>
      <c r="M55" s="10" t="s">
        <v>687</v>
      </c>
      <c r="N55" s="10" t="s">
        <v>101</v>
      </c>
      <c r="O55" s="10" t="s">
        <v>496</v>
      </c>
    </row>
    <row r="56" spans="1:15" ht="45" customHeight="1">
      <c r="A56" s="9" t="s">
        <v>824</v>
      </c>
      <c r="B56" s="9" t="s">
        <v>153</v>
      </c>
      <c r="C56" s="9" t="s">
        <v>493</v>
      </c>
      <c r="D56" s="9" t="s">
        <v>494</v>
      </c>
      <c r="E56" s="9" t="s">
        <v>500</v>
      </c>
      <c r="F56" s="9" t="s">
        <v>501</v>
      </c>
      <c r="G56" s="9" t="s">
        <v>489</v>
      </c>
      <c r="H56" s="9" t="s">
        <v>690</v>
      </c>
      <c r="I56" s="9" t="s">
        <v>691</v>
      </c>
      <c r="J56" s="9" t="s">
        <v>565</v>
      </c>
      <c r="K56" s="9">
        <v>3</v>
      </c>
      <c r="L56" s="9" t="s">
        <v>772</v>
      </c>
      <c r="M56" s="9" t="s">
        <v>694</v>
      </c>
      <c r="N56" s="9" t="s">
        <v>101</v>
      </c>
      <c r="O56" s="9" t="s">
        <v>496</v>
      </c>
    </row>
    <row r="57" spans="1:15" ht="45" customHeight="1">
      <c r="A57" s="10" t="s">
        <v>825</v>
      </c>
      <c r="B57" s="10" t="s">
        <v>153</v>
      </c>
      <c r="C57" s="10" t="s">
        <v>493</v>
      </c>
      <c r="D57" s="10" t="s">
        <v>494</v>
      </c>
      <c r="E57" s="10" t="s">
        <v>500</v>
      </c>
      <c r="F57" s="10" t="s">
        <v>501</v>
      </c>
      <c r="G57" s="10" t="s">
        <v>489</v>
      </c>
      <c r="H57" s="10" t="s">
        <v>697</v>
      </c>
      <c r="I57" s="10" t="s">
        <v>698</v>
      </c>
      <c r="J57" s="10" t="s">
        <v>565</v>
      </c>
      <c r="K57" s="10">
        <v>3</v>
      </c>
      <c r="L57" s="10" t="s">
        <v>772</v>
      </c>
      <c r="M57" s="10" t="s">
        <v>701</v>
      </c>
      <c r="N57" s="10" t="s">
        <v>101</v>
      </c>
      <c r="O57" s="10" t="s">
        <v>496</v>
      </c>
    </row>
    <row r="58" spans="1:15" ht="45" customHeight="1">
      <c r="A58" s="9" t="s">
        <v>826</v>
      </c>
      <c r="B58" s="9" t="s">
        <v>153</v>
      </c>
      <c r="C58" s="9" t="s">
        <v>493</v>
      </c>
      <c r="D58" s="9" t="s">
        <v>494</v>
      </c>
      <c r="E58" s="9" t="s">
        <v>500</v>
      </c>
      <c r="F58" s="9" t="s">
        <v>501</v>
      </c>
      <c r="G58" s="9" t="s">
        <v>489</v>
      </c>
      <c r="H58" s="9" t="s">
        <v>704</v>
      </c>
      <c r="I58" s="9" t="s">
        <v>705</v>
      </c>
      <c r="J58" s="9" t="s">
        <v>565</v>
      </c>
      <c r="K58" s="9">
        <v>3</v>
      </c>
      <c r="L58" s="9" t="s">
        <v>772</v>
      </c>
      <c r="M58" s="9" t="s">
        <v>708</v>
      </c>
      <c r="N58" s="9" t="s">
        <v>101</v>
      </c>
      <c r="O58" s="9" t="s">
        <v>496</v>
      </c>
    </row>
    <row r="59" spans="1:15" ht="45" customHeight="1">
      <c r="A59" s="10" t="s">
        <v>827</v>
      </c>
      <c r="B59" s="10" t="s">
        <v>153</v>
      </c>
      <c r="C59" s="10" t="s">
        <v>493</v>
      </c>
      <c r="D59" s="10" t="s">
        <v>494</v>
      </c>
      <c r="E59" s="10" t="s">
        <v>500</v>
      </c>
      <c r="F59" s="10" t="s">
        <v>501</v>
      </c>
      <c r="G59" s="10" t="s">
        <v>489</v>
      </c>
      <c r="H59" s="10" t="s">
        <v>711</v>
      </c>
      <c r="I59" s="10" t="s">
        <v>712</v>
      </c>
      <c r="J59" s="10" t="s">
        <v>565</v>
      </c>
      <c r="K59" s="10">
        <v>3</v>
      </c>
      <c r="L59" s="10" t="s">
        <v>772</v>
      </c>
      <c r="M59" s="10" t="s">
        <v>715</v>
      </c>
      <c r="N59" s="10" t="s">
        <v>101</v>
      </c>
      <c r="O59" s="10" t="s">
        <v>496</v>
      </c>
    </row>
    <row r="60" spans="1:15" ht="45" customHeight="1">
      <c r="A60" s="9" t="s">
        <v>828</v>
      </c>
      <c r="B60" s="9" t="s">
        <v>153</v>
      </c>
      <c r="C60" s="9" t="s">
        <v>493</v>
      </c>
      <c r="D60" s="9" t="s">
        <v>494</v>
      </c>
      <c r="E60" s="9" t="s">
        <v>500</v>
      </c>
      <c r="F60" s="9" t="s">
        <v>501</v>
      </c>
      <c r="G60" s="9" t="s">
        <v>489</v>
      </c>
      <c r="H60" s="9" t="s">
        <v>718</v>
      </c>
      <c r="I60" s="9" t="s">
        <v>719</v>
      </c>
      <c r="J60" s="9" t="s">
        <v>565</v>
      </c>
      <c r="K60" s="9">
        <v>3</v>
      </c>
      <c r="L60" s="9" t="s">
        <v>772</v>
      </c>
      <c r="M60" s="9" t="s">
        <v>722</v>
      </c>
      <c r="N60" s="9" t="s">
        <v>101</v>
      </c>
      <c r="O60" s="9" t="s">
        <v>496</v>
      </c>
    </row>
    <row r="61" spans="1:15" ht="45" customHeight="1">
      <c r="A61" s="10" t="s">
        <v>829</v>
      </c>
      <c r="B61" s="10" t="s">
        <v>153</v>
      </c>
      <c r="C61" s="10" t="s">
        <v>493</v>
      </c>
      <c r="D61" s="10" t="s">
        <v>494</v>
      </c>
      <c r="E61" s="10" t="s">
        <v>500</v>
      </c>
      <c r="F61" s="10" t="s">
        <v>501</v>
      </c>
      <c r="G61" s="10" t="s">
        <v>489</v>
      </c>
      <c r="H61" s="10" t="s">
        <v>725</v>
      </c>
      <c r="I61" s="10" t="s">
        <v>726</v>
      </c>
      <c r="J61" s="10" t="s">
        <v>565</v>
      </c>
      <c r="K61" s="10">
        <v>3</v>
      </c>
      <c r="L61" s="10" t="s">
        <v>772</v>
      </c>
      <c r="M61" s="10" t="s">
        <v>625</v>
      </c>
      <c r="N61" s="10" t="s">
        <v>101</v>
      </c>
      <c r="O61" s="10" t="s">
        <v>496</v>
      </c>
    </row>
    <row r="62" spans="1:15" ht="45" customHeight="1">
      <c r="A62" s="9" t="s">
        <v>830</v>
      </c>
      <c r="B62" s="9" t="s">
        <v>153</v>
      </c>
      <c r="C62" s="9" t="s">
        <v>493</v>
      </c>
      <c r="D62" s="9" t="s">
        <v>494</v>
      </c>
      <c r="E62" s="9" t="s">
        <v>500</v>
      </c>
      <c r="F62" s="9" t="s">
        <v>501</v>
      </c>
      <c r="G62" s="9" t="s">
        <v>489</v>
      </c>
      <c r="H62" s="9" t="s">
        <v>735</v>
      </c>
      <c r="I62" s="9" t="s">
        <v>736</v>
      </c>
      <c r="J62" s="9" t="s">
        <v>737</v>
      </c>
      <c r="K62" s="9">
        <v>3</v>
      </c>
      <c r="L62" s="9" t="s">
        <v>772</v>
      </c>
      <c r="M62" s="9" t="s">
        <v>740</v>
      </c>
      <c r="N62" s="9" t="s">
        <v>101</v>
      </c>
      <c r="O62" s="9" t="s">
        <v>496</v>
      </c>
    </row>
    <row r="63" spans="1:15" ht="45" customHeight="1">
      <c r="A63" s="10" t="s">
        <v>831</v>
      </c>
      <c r="B63" s="10" t="s">
        <v>153</v>
      </c>
      <c r="C63" s="10" t="s">
        <v>493</v>
      </c>
      <c r="D63" s="10" t="s">
        <v>494</v>
      </c>
      <c r="E63" s="10" t="s">
        <v>500</v>
      </c>
      <c r="F63" s="10" t="s">
        <v>501</v>
      </c>
      <c r="G63" s="10" t="s">
        <v>489</v>
      </c>
      <c r="H63" s="10" t="s">
        <v>743</v>
      </c>
      <c r="I63" s="10" t="s">
        <v>744</v>
      </c>
      <c r="J63" s="10" t="s">
        <v>737</v>
      </c>
      <c r="K63" s="10">
        <v>3</v>
      </c>
      <c r="L63" s="10" t="s">
        <v>772</v>
      </c>
      <c r="M63" s="10" t="s">
        <v>747</v>
      </c>
      <c r="N63" s="10" t="s">
        <v>101</v>
      </c>
      <c r="O63" s="10" t="s">
        <v>496</v>
      </c>
    </row>
    <row r="64" spans="1:15" ht="45" customHeight="1">
      <c r="A64" s="9" t="s">
        <v>832</v>
      </c>
      <c r="B64" s="9" t="s">
        <v>153</v>
      </c>
      <c r="C64" s="9" t="s">
        <v>464</v>
      </c>
      <c r="D64" s="9" t="s">
        <v>465</v>
      </c>
      <c r="E64" s="9" t="s">
        <v>463</v>
      </c>
      <c r="F64" s="9" t="s">
        <v>466</v>
      </c>
      <c r="G64" s="9" t="s">
        <v>467</v>
      </c>
      <c r="H64" s="9" t="s">
        <v>833</v>
      </c>
      <c r="I64" s="9" t="s">
        <v>834</v>
      </c>
      <c r="J64" s="9"/>
      <c r="K64" s="9">
        <v>3</v>
      </c>
      <c r="L64" s="9" t="s">
        <v>772</v>
      </c>
      <c r="M64" s="9"/>
      <c r="N64" s="9" t="s">
        <v>75</v>
      </c>
      <c r="O64" s="9" t="s">
        <v>465</v>
      </c>
    </row>
    <row r="65" spans="1:15" ht="45" customHeight="1">
      <c r="A65" s="10" t="s">
        <v>835</v>
      </c>
      <c r="B65" s="10" t="s">
        <v>153</v>
      </c>
      <c r="C65" s="10" t="s">
        <v>464</v>
      </c>
      <c r="D65" s="10" t="s">
        <v>465</v>
      </c>
      <c r="E65" s="10" t="s">
        <v>463</v>
      </c>
      <c r="F65" s="10" t="s">
        <v>466</v>
      </c>
      <c r="G65" s="10" t="s">
        <v>467</v>
      </c>
      <c r="H65" s="10" t="s">
        <v>836</v>
      </c>
      <c r="I65" s="10" t="s">
        <v>837</v>
      </c>
      <c r="J65" s="10"/>
      <c r="K65" s="10">
        <v>4</v>
      </c>
      <c r="L65" s="10" t="s">
        <v>764</v>
      </c>
      <c r="M65" s="10"/>
      <c r="N65" s="10" t="s">
        <v>75</v>
      </c>
      <c r="O65" s="10" t="s">
        <v>465</v>
      </c>
    </row>
    <row r="66" spans="1:15" ht="45" customHeight="1">
      <c r="A66" s="9" t="s">
        <v>838</v>
      </c>
      <c r="B66" s="9" t="s">
        <v>153</v>
      </c>
      <c r="C66" s="9" t="s">
        <v>464</v>
      </c>
      <c r="D66" s="9" t="s">
        <v>465</v>
      </c>
      <c r="E66" s="9" t="s">
        <v>463</v>
      </c>
      <c r="F66" s="9" t="s">
        <v>466</v>
      </c>
      <c r="G66" s="9" t="s">
        <v>467</v>
      </c>
      <c r="H66" s="9" t="s">
        <v>839</v>
      </c>
      <c r="I66" s="9" t="s">
        <v>840</v>
      </c>
      <c r="J66" s="9"/>
      <c r="K66" s="9">
        <v>3</v>
      </c>
      <c r="L66" s="9" t="s">
        <v>772</v>
      </c>
      <c r="M66" s="9"/>
      <c r="N66" s="9" t="s">
        <v>75</v>
      </c>
      <c r="O66" s="9" t="s">
        <v>465</v>
      </c>
    </row>
    <row r="67" spans="1:15" ht="45" customHeight="1">
      <c r="A67" s="10" t="s">
        <v>841</v>
      </c>
      <c r="B67" s="10" t="s">
        <v>153</v>
      </c>
      <c r="C67" s="10" t="s">
        <v>464</v>
      </c>
      <c r="D67" s="10" t="s">
        <v>465</v>
      </c>
      <c r="E67" s="10" t="s">
        <v>463</v>
      </c>
      <c r="F67" s="10" t="s">
        <v>466</v>
      </c>
      <c r="G67" s="10" t="s">
        <v>467</v>
      </c>
      <c r="H67" s="10" t="s">
        <v>842</v>
      </c>
      <c r="I67" s="10" t="s">
        <v>843</v>
      </c>
      <c r="J67" s="10"/>
      <c r="K67" s="10">
        <v>4</v>
      </c>
      <c r="L67" s="10" t="s">
        <v>764</v>
      </c>
      <c r="M67" s="10"/>
      <c r="N67" s="10" t="s">
        <v>75</v>
      </c>
      <c r="O67" s="10" t="s">
        <v>465</v>
      </c>
    </row>
    <row r="68" spans="1:15" ht="45" customHeight="1">
      <c r="A68" s="9" t="s">
        <v>844</v>
      </c>
      <c r="B68" s="9" t="s">
        <v>153</v>
      </c>
      <c r="C68" s="9" t="s">
        <v>464</v>
      </c>
      <c r="D68" s="9" t="s">
        <v>465</v>
      </c>
      <c r="E68" s="9" t="s">
        <v>463</v>
      </c>
      <c r="F68" s="9" t="s">
        <v>466</v>
      </c>
      <c r="G68" s="9" t="s">
        <v>467</v>
      </c>
      <c r="H68" s="9" t="s">
        <v>845</v>
      </c>
      <c r="I68" s="9" t="s">
        <v>846</v>
      </c>
      <c r="J68" s="9"/>
      <c r="K68" s="9">
        <v>3</v>
      </c>
      <c r="L68" s="9" t="s">
        <v>772</v>
      </c>
      <c r="M68" s="9"/>
      <c r="N68" s="9" t="s">
        <v>75</v>
      </c>
      <c r="O68" s="9" t="s">
        <v>465</v>
      </c>
    </row>
    <row r="69" spans="1:15" ht="45" customHeight="1">
      <c r="A69" s="10" t="s">
        <v>847</v>
      </c>
      <c r="B69" s="10" t="s">
        <v>153</v>
      </c>
      <c r="C69" s="10" t="s">
        <v>464</v>
      </c>
      <c r="D69" s="10" t="s">
        <v>465</v>
      </c>
      <c r="E69" s="10" t="s">
        <v>463</v>
      </c>
      <c r="F69" s="10" t="s">
        <v>466</v>
      </c>
      <c r="G69" s="10" t="s">
        <v>467</v>
      </c>
      <c r="H69" s="10" t="s">
        <v>848</v>
      </c>
      <c r="I69" s="10" t="s">
        <v>849</v>
      </c>
      <c r="J69" s="10"/>
      <c r="K69" s="10">
        <v>4</v>
      </c>
      <c r="L69" s="10" t="s">
        <v>764</v>
      </c>
      <c r="M69" s="10"/>
      <c r="N69" s="10" t="s">
        <v>75</v>
      </c>
      <c r="O69" s="10" t="s">
        <v>465</v>
      </c>
    </row>
    <row r="70" spans="1:15" ht="45" customHeight="1">
      <c r="A70" s="9" t="s">
        <v>850</v>
      </c>
      <c r="B70" s="9" t="s">
        <v>153</v>
      </c>
      <c r="C70" s="9" t="s">
        <v>464</v>
      </c>
      <c r="D70" s="9" t="s">
        <v>465</v>
      </c>
      <c r="E70" s="9" t="s">
        <v>463</v>
      </c>
      <c r="F70" s="9" t="s">
        <v>466</v>
      </c>
      <c r="G70" s="9" t="s">
        <v>467</v>
      </c>
      <c r="H70" s="9" t="s">
        <v>851</v>
      </c>
      <c r="I70" s="9" t="s">
        <v>852</v>
      </c>
      <c r="J70" s="9"/>
      <c r="K70" s="9">
        <v>4</v>
      </c>
      <c r="L70" s="9" t="s">
        <v>764</v>
      </c>
      <c r="M70" s="9"/>
      <c r="N70" s="9" t="s">
        <v>75</v>
      </c>
      <c r="O70" s="9" t="s">
        <v>465</v>
      </c>
    </row>
    <row r="71" spans="1:15" ht="45" customHeight="1">
      <c r="A71" s="10" t="s">
        <v>853</v>
      </c>
      <c r="B71" s="10" t="s">
        <v>153</v>
      </c>
      <c r="C71" s="10" t="s">
        <v>464</v>
      </c>
      <c r="D71" s="10" t="s">
        <v>465</v>
      </c>
      <c r="E71" s="10" t="s">
        <v>463</v>
      </c>
      <c r="F71" s="10" t="s">
        <v>466</v>
      </c>
      <c r="G71" s="10" t="s">
        <v>467</v>
      </c>
      <c r="H71" s="10" t="s">
        <v>854</v>
      </c>
      <c r="I71" s="10" t="s">
        <v>855</v>
      </c>
      <c r="J71" s="10"/>
      <c r="K71" s="10">
        <v>4</v>
      </c>
      <c r="L71" s="10" t="s">
        <v>764</v>
      </c>
      <c r="M71" s="10"/>
      <c r="N71" s="10" t="s">
        <v>75</v>
      </c>
      <c r="O71" s="10" t="s">
        <v>465</v>
      </c>
    </row>
    <row r="72" spans="1:15" ht="45" customHeight="1">
      <c r="A72" s="9" t="s">
        <v>856</v>
      </c>
      <c r="B72" s="9" t="s">
        <v>153</v>
      </c>
      <c r="C72" s="9" t="s">
        <v>464</v>
      </c>
      <c r="D72" s="9" t="s">
        <v>465</v>
      </c>
      <c r="E72" s="9" t="s">
        <v>463</v>
      </c>
      <c r="F72" s="9" t="s">
        <v>466</v>
      </c>
      <c r="G72" s="9" t="s">
        <v>467</v>
      </c>
      <c r="H72" s="9" t="s">
        <v>857</v>
      </c>
      <c r="I72" s="9" t="s">
        <v>858</v>
      </c>
      <c r="J72" s="9"/>
      <c r="K72" s="9">
        <v>4</v>
      </c>
      <c r="L72" s="9" t="s">
        <v>764</v>
      </c>
      <c r="M72" s="9"/>
      <c r="N72" s="9" t="s">
        <v>75</v>
      </c>
      <c r="O72" s="9" t="s">
        <v>465</v>
      </c>
    </row>
    <row r="73" spans="1:15" ht="45" customHeight="1">
      <c r="A73" s="10" t="s">
        <v>859</v>
      </c>
      <c r="B73" s="10" t="s">
        <v>153</v>
      </c>
      <c r="C73" s="10" t="s">
        <v>464</v>
      </c>
      <c r="D73" s="10" t="s">
        <v>465</v>
      </c>
      <c r="E73" s="10" t="s">
        <v>463</v>
      </c>
      <c r="F73" s="10" t="s">
        <v>466</v>
      </c>
      <c r="G73" s="10" t="s">
        <v>467</v>
      </c>
      <c r="H73" s="10" t="s">
        <v>860</v>
      </c>
      <c r="I73" s="10" t="s">
        <v>861</v>
      </c>
      <c r="J73" s="10"/>
      <c r="K73" s="10">
        <v>4</v>
      </c>
      <c r="L73" s="10" t="s">
        <v>764</v>
      </c>
      <c r="M73" s="10"/>
      <c r="N73" s="10" t="s">
        <v>75</v>
      </c>
      <c r="O73" s="10" t="s">
        <v>465</v>
      </c>
    </row>
    <row r="74" spans="1:15" ht="45" customHeight="1">
      <c r="A74" s="9" t="s">
        <v>862</v>
      </c>
      <c r="B74" s="9" t="s">
        <v>153</v>
      </c>
      <c r="C74" s="9" t="s">
        <v>464</v>
      </c>
      <c r="D74" s="9" t="s">
        <v>476</v>
      </c>
      <c r="E74" s="9" t="s">
        <v>475</v>
      </c>
      <c r="F74" s="9" t="s">
        <v>477</v>
      </c>
      <c r="G74" s="9" t="s">
        <v>478</v>
      </c>
      <c r="H74" s="9" t="s">
        <v>833</v>
      </c>
      <c r="I74" s="9" t="s">
        <v>834</v>
      </c>
      <c r="J74" s="9"/>
      <c r="K74" s="9">
        <v>3</v>
      </c>
      <c r="L74" s="9" t="s">
        <v>772</v>
      </c>
      <c r="M74" s="9"/>
      <c r="N74" s="9" t="s">
        <v>75</v>
      </c>
      <c r="O74" s="9" t="s">
        <v>476</v>
      </c>
    </row>
    <row r="75" spans="1:15" ht="45" customHeight="1">
      <c r="A75" s="10" t="s">
        <v>863</v>
      </c>
      <c r="B75" s="10" t="s">
        <v>153</v>
      </c>
      <c r="C75" s="10" t="s">
        <v>464</v>
      </c>
      <c r="D75" s="10" t="s">
        <v>476</v>
      </c>
      <c r="E75" s="10" t="s">
        <v>475</v>
      </c>
      <c r="F75" s="10" t="s">
        <v>477</v>
      </c>
      <c r="G75" s="10" t="s">
        <v>478</v>
      </c>
      <c r="H75" s="10" t="s">
        <v>836</v>
      </c>
      <c r="I75" s="10" t="s">
        <v>837</v>
      </c>
      <c r="J75" s="10"/>
      <c r="K75" s="10">
        <v>4</v>
      </c>
      <c r="L75" s="10" t="s">
        <v>764</v>
      </c>
      <c r="M75" s="10"/>
      <c r="N75" s="10" t="s">
        <v>75</v>
      </c>
      <c r="O75" s="10" t="s">
        <v>476</v>
      </c>
    </row>
    <row r="76" spans="1:15" ht="45" customHeight="1">
      <c r="A76" s="9" t="s">
        <v>864</v>
      </c>
      <c r="B76" s="9" t="s">
        <v>153</v>
      </c>
      <c r="C76" s="9" t="s">
        <v>464</v>
      </c>
      <c r="D76" s="9" t="s">
        <v>476</v>
      </c>
      <c r="E76" s="9" t="s">
        <v>475</v>
      </c>
      <c r="F76" s="9" t="s">
        <v>477</v>
      </c>
      <c r="G76" s="9" t="s">
        <v>478</v>
      </c>
      <c r="H76" s="9" t="s">
        <v>842</v>
      </c>
      <c r="I76" s="9" t="s">
        <v>843</v>
      </c>
      <c r="J76" s="9"/>
      <c r="K76" s="9">
        <v>4</v>
      </c>
      <c r="L76" s="9" t="s">
        <v>764</v>
      </c>
      <c r="M76" s="9"/>
      <c r="N76" s="9" t="s">
        <v>75</v>
      </c>
      <c r="O76" s="9" t="s">
        <v>476</v>
      </c>
    </row>
    <row r="77" spans="1:15" ht="45" customHeight="1">
      <c r="A77" s="10" t="s">
        <v>865</v>
      </c>
      <c r="B77" s="10" t="s">
        <v>153</v>
      </c>
      <c r="C77" s="10" t="s">
        <v>464</v>
      </c>
      <c r="D77" s="10" t="s">
        <v>476</v>
      </c>
      <c r="E77" s="10" t="s">
        <v>475</v>
      </c>
      <c r="F77" s="10" t="s">
        <v>477</v>
      </c>
      <c r="G77" s="10" t="s">
        <v>478</v>
      </c>
      <c r="H77" s="10" t="s">
        <v>866</v>
      </c>
      <c r="I77" s="10" t="s">
        <v>867</v>
      </c>
      <c r="J77" s="10"/>
      <c r="K77" s="10">
        <v>4</v>
      </c>
      <c r="L77" s="10" t="s">
        <v>764</v>
      </c>
      <c r="M77" s="10"/>
      <c r="N77" s="10" t="s">
        <v>75</v>
      </c>
      <c r="O77" s="10" t="s">
        <v>476</v>
      </c>
    </row>
    <row r="78" spans="1:15" ht="45" customHeight="1">
      <c r="A78" s="9" t="s">
        <v>868</v>
      </c>
      <c r="B78" s="9" t="s">
        <v>153</v>
      </c>
      <c r="C78" s="9" t="s">
        <v>464</v>
      </c>
      <c r="D78" s="9" t="s">
        <v>476</v>
      </c>
      <c r="E78" s="9" t="s">
        <v>475</v>
      </c>
      <c r="F78" s="9" t="s">
        <v>477</v>
      </c>
      <c r="G78" s="9" t="s">
        <v>478</v>
      </c>
      <c r="H78" s="9" t="s">
        <v>869</v>
      </c>
      <c r="I78" s="9" t="s">
        <v>870</v>
      </c>
      <c r="J78" s="9"/>
      <c r="K78" s="9">
        <v>4</v>
      </c>
      <c r="L78" s="9" t="s">
        <v>764</v>
      </c>
      <c r="M78" s="9"/>
      <c r="N78" s="9" t="s">
        <v>75</v>
      </c>
      <c r="O78" s="9" t="s">
        <v>476</v>
      </c>
    </row>
    <row r="79" spans="1:15" ht="45" customHeight="1">
      <c r="A79" s="10" t="s">
        <v>871</v>
      </c>
      <c r="B79" s="10" t="s">
        <v>153</v>
      </c>
      <c r="C79" s="10" t="s">
        <v>464</v>
      </c>
      <c r="D79" s="10" t="s">
        <v>476</v>
      </c>
      <c r="E79" s="10" t="s">
        <v>475</v>
      </c>
      <c r="F79" s="10" t="s">
        <v>477</v>
      </c>
      <c r="G79" s="10" t="s">
        <v>478</v>
      </c>
      <c r="H79" s="10" t="s">
        <v>848</v>
      </c>
      <c r="I79" s="10" t="s">
        <v>849</v>
      </c>
      <c r="J79" s="10"/>
      <c r="K79" s="10">
        <v>4</v>
      </c>
      <c r="L79" s="10" t="s">
        <v>764</v>
      </c>
      <c r="M79" s="10"/>
      <c r="N79" s="10" t="s">
        <v>75</v>
      </c>
      <c r="O79" s="10" t="s">
        <v>476</v>
      </c>
    </row>
    <row r="80" spans="1:15" ht="45" customHeight="1">
      <c r="A80" s="9" t="s">
        <v>872</v>
      </c>
      <c r="B80" s="9" t="s">
        <v>153</v>
      </c>
      <c r="C80" s="9" t="s">
        <v>464</v>
      </c>
      <c r="D80" s="9" t="s">
        <v>476</v>
      </c>
      <c r="E80" s="9" t="s">
        <v>475</v>
      </c>
      <c r="F80" s="9" t="s">
        <v>477</v>
      </c>
      <c r="G80" s="9" t="s">
        <v>478</v>
      </c>
      <c r="H80" s="9" t="s">
        <v>851</v>
      </c>
      <c r="I80" s="9" t="s">
        <v>852</v>
      </c>
      <c r="J80" s="9"/>
      <c r="K80" s="9">
        <v>4</v>
      </c>
      <c r="L80" s="9" t="s">
        <v>764</v>
      </c>
      <c r="M80" s="9"/>
      <c r="N80" s="9" t="s">
        <v>75</v>
      </c>
      <c r="O80" s="9" t="s">
        <v>476</v>
      </c>
    </row>
    <row r="81" spans="1:15" ht="45" customHeight="1">
      <c r="A81" s="10" t="s">
        <v>873</v>
      </c>
      <c r="B81" s="10" t="s">
        <v>153</v>
      </c>
      <c r="C81" s="10" t="s">
        <v>464</v>
      </c>
      <c r="D81" s="10" t="s">
        <v>476</v>
      </c>
      <c r="E81" s="10" t="s">
        <v>475</v>
      </c>
      <c r="F81" s="10" t="s">
        <v>477</v>
      </c>
      <c r="G81" s="10" t="s">
        <v>478</v>
      </c>
      <c r="H81" s="10" t="s">
        <v>854</v>
      </c>
      <c r="I81" s="10" t="s">
        <v>855</v>
      </c>
      <c r="J81" s="10"/>
      <c r="K81" s="10">
        <v>4</v>
      </c>
      <c r="L81" s="10" t="s">
        <v>764</v>
      </c>
      <c r="M81" s="10"/>
      <c r="N81" s="10" t="s">
        <v>75</v>
      </c>
      <c r="O81" s="10" t="s">
        <v>476</v>
      </c>
    </row>
    <row r="82" spans="1:15" ht="45" customHeight="1">
      <c r="A82" s="9" t="s">
        <v>874</v>
      </c>
      <c r="B82" s="9" t="s">
        <v>153</v>
      </c>
      <c r="C82" s="9" t="s">
        <v>464</v>
      </c>
      <c r="D82" s="9" t="s">
        <v>476</v>
      </c>
      <c r="E82" s="9" t="s">
        <v>475</v>
      </c>
      <c r="F82" s="9" t="s">
        <v>477</v>
      </c>
      <c r="G82" s="9" t="s">
        <v>478</v>
      </c>
      <c r="H82" s="9" t="s">
        <v>857</v>
      </c>
      <c r="I82" s="9" t="s">
        <v>858</v>
      </c>
      <c r="J82" s="9"/>
      <c r="K82" s="9">
        <v>4</v>
      </c>
      <c r="L82" s="9" t="s">
        <v>764</v>
      </c>
      <c r="M82" s="9"/>
      <c r="N82" s="9" t="s">
        <v>75</v>
      </c>
      <c r="O82" s="9" t="s">
        <v>476</v>
      </c>
    </row>
    <row r="83" spans="1:15" ht="45" customHeight="1">
      <c r="A83" s="10" t="s">
        <v>875</v>
      </c>
      <c r="B83" s="10" t="s">
        <v>153</v>
      </c>
      <c r="C83" s="10" t="s">
        <v>464</v>
      </c>
      <c r="D83" s="10" t="s">
        <v>476</v>
      </c>
      <c r="E83" s="10" t="s">
        <v>475</v>
      </c>
      <c r="F83" s="10" t="s">
        <v>477</v>
      </c>
      <c r="G83" s="10" t="s">
        <v>478</v>
      </c>
      <c r="H83" s="10" t="s">
        <v>860</v>
      </c>
      <c r="I83" s="10" t="s">
        <v>861</v>
      </c>
      <c r="J83" s="10"/>
      <c r="K83" s="10">
        <v>4</v>
      </c>
      <c r="L83" s="10" t="s">
        <v>764</v>
      </c>
      <c r="M83" s="10"/>
      <c r="N83" s="10" t="s">
        <v>75</v>
      </c>
      <c r="O83" s="10" t="s">
        <v>476</v>
      </c>
    </row>
    <row r="84" spans="1:15" ht="45" customHeight="1">
      <c r="A84" s="9" t="s">
        <v>876</v>
      </c>
      <c r="B84" s="9" t="s">
        <v>153</v>
      </c>
      <c r="C84" s="9" t="s">
        <v>464</v>
      </c>
      <c r="D84" s="9" t="s">
        <v>472</v>
      </c>
      <c r="E84" s="9" t="s">
        <v>471</v>
      </c>
      <c r="F84" s="9" t="s">
        <v>473</v>
      </c>
      <c r="G84" s="9" t="s">
        <v>467</v>
      </c>
      <c r="H84" s="9" t="s">
        <v>833</v>
      </c>
      <c r="I84" s="9" t="s">
        <v>834</v>
      </c>
      <c r="J84" s="9"/>
      <c r="K84" s="9">
        <v>3</v>
      </c>
      <c r="L84" s="9" t="s">
        <v>772</v>
      </c>
      <c r="M84" s="9"/>
      <c r="N84" s="9" t="s">
        <v>75</v>
      </c>
      <c r="O84" s="9" t="s">
        <v>472</v>
      </c>
    </row>
    <row r="85" spans="1:15" ht="45" customHeight="1">
      <c r="A85" s="10" t="s">
        <v>877</v>
      </c>
      <c r="B85" s="10" t="s">
        <v>153</v>
      </c>
      <c r="C85" s="10" t="s">
        <v>464</v>
      </c>
      <c r="D85" s="10" t="s">
        <v>472</v>
      </c>
      <c r="E85" s="10" t="s">
        <v>471</v>
      </c>
      <c r="F85" s="10" t="s">
        <v>473</v>
      </c>
      <c r="G85" s="10" t="s">
        <v>467</v>
      </c>
      <c r="H85" s="10" t="s">
        <v>836</v>
      </c>
      <c r="I85" s="10" t="s">
        <v>837</v>
      </c>
      <c r="J85" s="10"/>
      <c r="K85" s="10">
        <v>4</v>
      </c>
      <c r="L85" s="10" t="s">
        <v>764</v>
      </c>
      <c r="M85" s="10"/>
      <c r="N85" s="10" t="s">
        <v>75</v>
      </c>
      <c r="O85" s="10" t="s">
        <v>472</v>
      </c>
    </row>
    <row r="86" spans="1:15" ht="45" customHeight="1">
      <c r="A86" s="9" t="s">
        <v>878</v>
      </c>
      <c r="B86" s="9" t="s">
        <v>153</v>
      </c>
      <c r="C86" s="9" t="s">
        <v>464</v>
      </c>
      <c r="D86" s="9" t="s">
        <v>472</v>
      </c>
      <c r="E86" s="9" t="s">
        <v>471</v>
      </c>
      <c r="F86" s="9" t="s">
        <v>473</v>
      </c>
      <c r="G86" s="9" t="s">
        <v>467</v>
      </c>
      <c r="H86" s="9" t="s">
        <v>839</v>
      </c>
      <c r="I86" s="9" t="s">
        <v>840</v>
      </c>
      <c r="J86" s="9"/>
      <c r="K86" s="9">
        <v>3</v>
      </c>
      <c r="L86" s="9" t="s">
        <v>772</v>
      </c>
      <c r="M86" s="9"/>
      <c r="N86" s="9" t="s">
        <v>75</v>
      </c>
      <c r="O86" s="9" t="s">
        <v>472</v>
      </c>
    </row>
    <row r="87" spans="1:15" ht="45" customHeight="1">
      <c r="A87" s="10" t="s">
        <v>879</v>
      </c>
      <c r="B87" s="10" t="s">
        <v>153</v>
      </c>
      <c r="C87" s="10" t="s">
        <v>464</v>
      </c>
      <c r="D87" s="10" t="s">
        <v>472</v>
      </c>
      <c r="E87" s="10" t="s">
        <v>471</v>
      </c>
      <c r="F87" s="10" t="s">
        <v>473</v>
      </c>
      <c r="G87" s="10" t="s">
        <v>467</v>
      </c>
      <c r="H87" s="10" t="s">
        <v>842</v>
      </c>
      <c r="I87" s="10" t="s">
        <v>843</v>
      </c>
      <c r="J87" s="10"/>
      <c r="K87" s="10">
        <v>4</v>
      </c>
      <c r="L87" s="10" t="s">
        <v>764</v>
      </c>
      <c r="M87" s="10"/>
      <c r="N87" s="10" t="s">
        <v>75</v>
      </c>
      <c r="O87" s="10" t="s">
        <v>472</v>
      </c>
    </row>
    <row r="88" spans="1:15" ht="45" customHeight="1">
      <c r="A88" s="9" t="s">
        <v>880</v>
      </c>
      <c r="B88" s="9" t="s">
        <v>153</v>
      </c>
      <c r="C88" s="9" t="s">
        <v>464</v>
      </c>
      <c r="D88" s="9" t="s">
        <v>472</v>
      </c>
      <c r="E88" s="9" t="s">
        <v>471</v>
      </c>
      <c r="F88" s="9" t="s">
        <v>473</v>
      </c>
      <c r="G88" s="9" t="s">
        <v>467</v>
      </c>
      <c r="H88" s="9" t="s">
        <v>881</v>
      </c>
      <c r="I88" s="9" t="s">
        <v>629</v>
      </c>
      <c r="J88" s="9"/>
      <c r="K88" s="9">
        <v>3</v>
      </c>
      <c r="L88" s="9" t="s">
        <v>772</v>
      </c>
      <c r="M88" s="9"/>
      <c r="N88" s="9" t="s">
        <v>75</v>
      </c>
      <c r="O88" s="9" t="s">
        <v>472</v>
      </c>
    </row>
    <row r="89" spans="1:15" ht="45" customHeight="1">
      <c r="A89" s="10" t="s">
        <v>882</v>
      </c>
      <c r="B89" s="10" t="s">
        <v>153</v>
      </c>
      <c r="C89" s="10" t="s">
        <v>464</v>
      </c>
      <c r="D89" s="10" t="s">
        <v>472</v>
      </c>
      <c r="E89" s="10" t="s">
        <v>471</v>
      </c>
      <c r="F89" s="10" t="s">
        <v>473</v>
      </c>
      <c r="G89" s="10" t="s">
        <v>467</v>
      </c>
      <c r="H89" s="10" t="s">
        <v>848</v>
      </c>
      <c r="I89" s="10" t="s">
        <v>849</v>
      </c>
      <c r="J89" s="10"/>
      <c r="K89" s="10">
        <v>4</v>
      </c>
      <c r="L89" s="10" t="s">
        <v>764</v>
      </c>
      <c r="M89" s="10"/>
      <c r="N89" s="10" t="s">
        <v>75</v>
      </c>
      <c r="O89" s="10" t="s">
        <v>472</v>
      </c>
    </row>
    <row r="90" spans="1:15" ht="45" customHeight="1">
      <c r="A90" s="9" t="s">
        <v>883</v>
      </c>
      <c r="B90" s="9" t="s">
        <v>153</v>
      </c>
      <c r="C90" s="9" t="s">
        <v>464</v>
      </c>
      <c r="D90" s="9" t="s">
        <v>472</v>
      </c>
      <c r="E90" s="9" t="s">
        <v>471</v>
      </c>
      <c r="F90" s="9" t="s">
        <v>473</v>
      </c>
      <c r="G90" s="9" t="s">
        <v>467</v>
      </c>
      <c r="H90" s="9" t="s">
        <v>851</v>
      </c>
      <c r="I90" s="9" t="s">
        <v>852</v>
      </c>
      <c r="J90" s="9"/>
      <c r="K90" s="9">
        <v>4</v>
      </c>
      <c r="L90" s="9" t="s">
        <v>764</v>
      </c>
      <c r="M90" s="9"/>
      <c r="N90" s="9" t="s">
        <v>75</v>
      </c>
      <c r="O90" s="9" t="s">
        <v>472</v>
      </c>
    </row>
    <row r="91" spans="1:15" ht="45" customHeight="1">
      <c r="A91" s="10" t="s">
        <v>884</v>
      </c>
      <c r="B91" s="10" t="s">
        <v>153</v>
      </c>
      <c r="C91" s="10" t="s">
        <v>464</v>
      </c>
      <c r="D91" s="10" t="s">
        <v>472</v>
      </c>
      <c r="E91" s="10" t="s">
        <v>471</v>
      </c>
      <c r="F91" s="10" t="s">
        <v>473</v>
      </c>
      <c r="G91" s="10" t="s">
        <v>467</v>
      </c>
      <c r="H91" s="10" t="s">
        <v>854</v>
      </c>
      <c r="I91" s="10" t="s">
        <v>855</v>
      </c>
      <c r="J91" s="10"/>
      <c r="K91" s="10">
        <v>4</v>
      </c>
      <c r="L91" s="10" t="s">
        <v>764</v>
      </c>
      <c r="M91" s="10"/>
      <c r="N91" s="10" t="s">
        <v>75</v>
      </c>
      <c r="O91" s="10" t="s">
        <v>472</v>
      </c>
    </row>
    <row r="92" spans="1:15" ht="45" customHeight="1">
      <c r="A92" s="9" t="s">
        <v>885</v>
      </c>
      <c r="B92" s="9" t="s">
        <v>153</v>
      </c>
      <c r="C92" s="9" t="s">
        <v>464</v>
      </c>
      <c r="D92" s="9" t="s">
        <v>472</v>
      </c>
      <c r="E92" s="9" t="s">
        <v>471</v>
      </c>
      <c r="F92" s="9" t="s">
        <v>473</v>
      </c>
      <c r="G92" s="9" t="s">
        <v>467</v>
      </c>
      <c r="H92" s="9" t="s">
        <v>857</v>
      </c>
      <c r="I92" s="9" t="s">
        <v>858</v>
      </c>
      <c r="J92" s="9"/>
      <c r="K92" s="9">
        <v>4</v>
      </c>
      <c r="L92" s="9" t="s">
        <v>764</v>
      </c>
      <c r="M92" s="9"/>
      <c r="N92" s="9" t="s">
        <v>75</v>
      </c>
      <c r="O92" s="9" t="s">
        <v>472</v>
      </c>
    </row>
    <row r="93" spans="1:15" ht="45" customHeight="1">
      <c r="A93" s="10" t="s">
        <v>886</v>
      </c>
      <c r="B93" s="10" t="s">
        <v>153</v>
      </c>
      <c r="C93" s="10" t="s">
        <v>464</v>
      </c>
      <c r="D93" s="10" t="s">
        <v>472</v>
      </c>
      <c r="E93" s="10" t="s">
        <v>471</v>
      </c>
      <c r="F93" s="10" t="s">
        <v>473</v>
      </c>
      <c r="G93" s="10" t="s">
        <v>467</v>
      </c>
      <c r="H93" s="10" t="s">
        <v>860</v>
      </c>
      <c r="I93" s="10" t="s">
        <v>861</v>
      </c>
      <c r="J93" s="10"/>
      <c r="K93" s="10">
        <v>4</v>
      </c>
      <c r="L93" s="10" t="s">
        <v>764</v>
      </c>
      <c r="M93" s="10"/>
      <c r="N93" s="10" t="s">
        <v>75</v>
      </c>
      <c r="O93" s="10" t="s">
        <v>472</v>
      </c>
    </row>
  </sheetData>
  <autoFilter ref="A3:O93" xr:uid="{00000000-0009-0000-0000-000008000000}"/>
  <mergeCells count="1">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4"/>
  <sheetViews>
    <sheetView showGridLines="0" workbookViewId="0">
      <pane ySplit="3" topLeftCell="C4" activePane="bottomLeft" state="frozen"/>
      <selection pane="bottomLeft"/>
    </sheetView>
  </sheetViews>
  <sheetFormatPr defaultRowHeight="15"/>
  <cols>
    <col min="1" max="1" width="20" customWidth="1"/>
    <col min="2" max="2" width="45" customWidth="1"/>
    <col min="3" max="3" width="12" customWidth="1"/>
    <col min="4" max="4" width="45" customWidth="1"/>
    <col min="5" max="5" width="41" customWidth="1"/>
    <col min="6" max="6" width="30" customWidth="1"/>
    <col min="7" max="7" width="12" customWidth="1"/>
    <col min="8" max="8" width="27" customWidth="1"/>
    <col min="9" max="9" width="45" customWidth="1"/>
    <col min="10" max="10" width="29" customWidth="1"/>
  </cols>
  <sheetData>
    <row r="1" spans="1:10" ht="26.1" customHeight="1">
      <c r="A1" s="16" t="s">
        <v>887</v>
      </c>
      <c r="B1" s="17"/>
      <c r="C1" s="17"/>
      <c r="D1" s="17"/>
      <c r="E1" s="17"/>
      <c r="F1" s="17"/>
      <c r="G1" s="17"/>
      <c r="H1" s="17"/>
      <c r="I1" s="17"/>
      <c r="J1" s="17"/>
    </row>
    <row r="3" spans="1:10">
      <c r="A3" s="2" t="s">
        <v>216</v>
      </c>
      <c r="B3" s="2" t="s">
        <v>62</v>
      </c>
      <c r="C3" s="2" t="s">
        <v>154</v>
      </c>
      <c r="D3" s="2" t="s">
        <v>218</v>
      </c>
      <c r="E3" s="2" t="s">
        <v>220</v>
      </c>
      <c r="F3" s="2" t="s">
        <v>162</v>
      </c>
      <c r="G3" s="2" t="s">
        <v>222</v>
      </c>
      <c r="H3" s="2" t="s">
        <v>224</v>
      </c>
      <c r="I3" s="2" t="s">
        <v>61</v>
      </c>
      <c r="J3" s="2" t="s">
        <v>170</v>
      </c>
    </row>
    <row r="4" spans="1:10" ht="45" customHeight="1">
      <c r="A4" s="9" t="s">
        <v>888</v>
      </c>
      <c r="B4" s="9" t="s">
        <v>889</v>
      </c>
      <c r="C4" s="9" t="s">
        <v>482</v>
      </c>
      <c r="D4" s="9" t="s">
        <v>890</v>
      </c>
      <c r="E4" s="9" t="s">
        <v>891</v>
      </c>
      <c r="F4" s="9" t="s">
        <v>892</v>
      </c>
      <c r="G4" s="9" t="s">
        <v>893</v>
      </c>
      <c r="H4" s="9" t="s">
        <v>894</v>
      </c>
      <c r="I4" s="9" t="s">
        <v>123</v>
      </c>
      <c r="J4" s="9" t="s">
        <v>895</v>
      </c>
    </row>
    <row r="5" spans="1:10" ht="45" customHeight="1">
      <c r="A5" s="10" t="s">
        <v>896</v>
      </c>
      <c r="B5" s="10" t="s">
        <v>889</v>
      </c>
      <c r="C5" s="10" t="s">
        <v>482</v>
      </c>
      <c r="D5" s="10" t="s">
        <v>897</v>
      </c>
      <c r="E5" s="10" t="s">
        <v>891</v>
      </c>
      <c r="F5" s="10" t="s">
        <v>898</v>
      </c>
      <c r="G5" s="10" t="s">
        <v>899</v>
      </c>
      <c r="H5" s="10" t="s">
        <v>894</v>
      </c>
      <c r="I5" s="10" t="s">
        <v>123</v>
      </c>
      <c r="J5" s="10" t="s">
        <v>895</v>
      </c>
    </row>
    <row r="6" spans="1:10" ht="45" customHeight="1">
      <c r="A6" s="9" t="s">
        <v>900</v>
      </c>
      <c r="B6" s="9" t="s">
        <v>889</v>
      </c>
      <c r="C6" s="9" t="s">
        <v>482</v>
      </c>
      <c r="D6" s="9" t="s">
        <v>901</v>
      </c>
      <c r="E6" s="9" t="s">
        <v>891</v>
      </c>
      <c r="F6" s="9" t="s">
        <v>772</v>
      </c>
      <c r="G6" s="9" t="s">
        <v>899</v>
      </c>
      <c r="H6" s="9" t="s">
        <v>894</v>
      </c>
      <c r="I6" s="9" t="s">
        <v>123</v>
      </c>
      <c r="J6" s="9" t="s">
        <v>895</v>
      </c>
    </row>
    <row r="7" spans="1:10" ht="45" customHeight="1">
      <c r="A7" s="10" t="s">
        <v>902</v>
      </c>
      <c r="B7" s="10" t="s">
        <v>889</v>
      </c>
      <c r="C7" s="10" t="s">
        <v>482</v>
      </c>
      <c r="D7" s="10" t="s">
        <v>903</v>
      </c>
      <c r="E7" s="10" t="s">
        <v>891</v>
      </c>
      <c r="F7" s="10" t="s">
        <v>904</v>
      </c>
      <c r="G7" s="10" t="s">
        <v>893</v>
      </c>
      <c r="H7" s="10" t="s">
        <v>905</v>
      </c>
      <c r="I7" s="10" t="s">
        <v>906</v>
      </c>
      <c r="J7" s="10" t="s">
        <v>907</v>
      </c>
    </row>
    <row r="8" spans="1:10" ht="45" customHeight="1">
      <c r="A8" s="9" t="s">
        <v>908</v>
      </c>
      <c r="B8" s="9" t="s">
        <v>889</v>
      </c>
      <c r="C8" s="9" t="s">
        <v>482</v>
      </c>
      <c r="D8" s="9" t="s">
        <v>909</v>
      </c>
      <c r="E8" s="9" t="s">
        <v>891</v>
      </c>
      <c r="F8" s="9" t="s">
        <v>904</v>
      </c>
      <c r="G8" s="9" t="s">
        <v>893</v>
      </c>
      <c r="H8" s="9" t="s">
        <v>905</v>
      </c>
      <c r="I8" s="9" t="s">
        <v>906</v>
      </c>
      <c r="J8" s="9" t="s">
        <v>907</v>
      </c>
    </row>
    <row r="9" spans="1:10" ht="45" customHeight="1">
      <c r="A9" s="10" t="s">
        <v>910</v>
      </c>
      <c r="B9" s="10" t="s">
        <v>889</v>
      </c>
      <c r="C9" s="10" t="s">
        <v>482</v>
      </c>
      <c r="D9" s="10" t="s">
        <v>911</v>
      </c>
      <c r="E9" s="10" t="s">
        <v>891</v>
      </c>
      <c r="F9" s="10" t="s">
        <v>904</v>
      </c>
      <c r="G9" s="10" t="s">
        <v>893</v>
      </c>
      <c r="H9" s="10" t="s">
        <v>905</v>
      </c>
      <c r="I9" s="10" t="s">
        <v>906</v>
      </c>
      <c r="J9" s="10" t="s">
        <v>907</v>
      </c>
    </row>
    <row r="10" spans="1:10" ht="45" customHeight="1">
      <c r="A10" s="9" t="s">
        <v>912</v>
      </c>
      <c r="B10" s="9" t="s">
        <v>889</v>
      </c>
      <c r="C10" s="9" t="s">
        <v>482</v>
      </c>
      <c r="D10" s="9" t="s">
        <v>913</v>
      </c>
      <c r="E10" s="9" t="s">
        <v>891</v>
      </c>
      <c r="F10" s="9" t="s">
        <v>904</v>
      </c>
      <c r="G10" s="9" t="s">
        <v>893</v>
      </c>
      <c r="H10" s="9" t="s">
        <v>905</v>
      </c>
      <c r="I10" s="9" t="s">
        <v>906</v>
      </c>
      <c r="J10" s="9" t="s">
        <v>907</v>
      </c>
    </row>
    <row r="11" spans="1:10" ht="45" customHeight="1">
      <c r="A11" s="10" t="s">
        <v>914</v>
      </c>
      <c r="B11" s="10" t="s">
        <v>889</v>
      </c>
      <c r="C11" s="10" t="s">
        <v>482</v>
      </c>
      <c r="D11" s="10" t="s">
        <v>915</v>
      </c>
      <c r="E11" s="10" t="s">
        <v>891</v>
      </c>
      <c r="F11" s="10" t="s">
        <v>904</v>
      </c>
      <c r="G11" s="10" t="s">
        <v>893</v>
      </c>
      <c r="H11" s="10" t="s">
        <v>905</v>
      </c>
      <c r="I11" s="10" t="s">
        <v>906</v>
      </c>
      <c r="J11" s="10" t="s">
        <v>907</v>
      </c>
    </row>
    <row r="12" spans="1:10" ht="45" customHeight="1">
      <c r="A12" s="9" t="s">
        <v>916</v>
      </c>
      <c r="B12" s="9" t="s">
        <v>889</v>
      </c>
      <c r="C12" s="9" t="s">
        <v>482</v>
      </c>
      <c r="D12" s="9" t="s">
        <v>917</v>
      </c>
      <c r="E12" s="9" t="s">
        <v>891</v>
      </c>
      <c r="F12" s="9" t="s">
        <v>904</v>
      </c>
      <c r="G12" s="9" t="s">
        <v>893</v>
      </c>
      <c r="H12" s="9" t="s">
        <v>905</v>
      </c>
      <c r="I12" s="9" t="s">
        <v>906</v>
      </c>
      <c r="J12" s="9" t="s">
        <v>907</v>
      </c>
    </row>
    <row r="13" spans="1:10" ht="45" customHeight="1">
      <c r="A13" s="10" t="s">
        <v>918</v>
      </c>
      <c r="B13" s="10" t="s">
        <v>889</v>
      </c>
      <c r="C13" s="10" t="s">
        <v>482</v>
      </c>
      <c r="D13" s="10" t="s">
        <v>919</v>
      </c>
      <c r="E13" s="10" t="s">
        <v>891</v>
      </c>
      <c r="F13" s="10" t="s">
        <v>904</v>
      </c>
      <c r="G13" s="10" t="s">
        <v>893</v>
      </c>
      <c r="H13" s="10" t="s">
        <v>905</v>
      </c>
      <c r="I13" s="10" t="s">
        <v>906</v>
      </c>
      <c r="J13" s="10" t="s">
        <v>907</v>
      </c>
    </row>
    <row r="14" spans="1:10" ht="45" customHeight="1">
      <c r="A14" s="9" t="s">
        <v>920</v>
      </c>
      <c r="B14" s="9" t="s">
        <v>889</v>
      </c>
      <c r="C14" s="9" t="s">
        <v>482</v>
      </c>
      <c r="D14" s="9" t="s">
        <v>921</v>
      </c>
      <c r="E14" s="9" t="s">
        <v>891</v>
      </c>
      <c r="F14" s="9" t="s">
        <v>904</v>
      </c>
      <c r="G14" s="9" t="s">
        <v>893</v>
      </c>
      <c r="H14" s="9" t="s">
        <v>905</v>
      </c>
      <c r="I14" s="9" t="s">
        <v>906</v>
      </c>
      <c r="J14" s="9" t="s">
        <v>907</v>
      </c>
    </row>
    <row r="15" spans="1:10" ht="45" customHeight="1">
      <c r="A15" s="10" t="s">
        <v>922</v>
      </c>
      <c r="B15" s="10" t="s">
        <v>889</v>
      </c>
      <c r="C15" s="10" t="s">
        <v>482</v>
      </c>
      <c r="D15" s="10" t="s">
        <v>923</v>
      </c>
      <c r="E15" s="10" t="s">
        <v>891</v>
      </c>
      <c r="F15" s="10" t="s">
        <v>904</v>
      </c>
      <c r="G15" s="10" t="s">
        <v>893</v>
      </c>
      <c r="H15" s="10" t="s">
        <v>905</v>
      </c>
      <c r="I15" s="10" t="s">
        <v>906</v>
      </c>
      <c r="J15" s="10" t="s">
        <v>907</v>
      </c>
    </row>
    <row r="16" spans="1:10" ht="45" customHeight="1">
      <c r="A16" s="9" t="s">
        <v>924</v>
      </c>
      <c r="B16" s="9" t="s">
        <v>889</v>
      </c>
      <c r="C16" s="9" t="s">
        <v>482</v>
      </c>
      <c r="D16" s="9" t="s">
        <v>925</v>
      </c>
      <c r="E16" s="9" t="s">
        <v>891</v>
      </c>
      <c r="F16" s="9" t="s">
        <v>904</v>
      </c>
      <c r="G16" s="9" t="s">
        <v>893</v>
      </c>
      <c r="H16" s="9" t="s">
        <v>905</v>
      </c>
      <c r="I16" s="9" t="s">
        <v>906</v>
      </c>
      <c r="J16" s="9" t="s">
        <v>907</v>
      </c>
    </row>
    <row r="17" spans="1:10" ht="45" customHeight="1">
      <c r="A17" s="10" t="s">
        <v>926</v>
      </c>
      <c r="B17" s="10" t="s">
        <v>889</v>
      </c>
      <c r="C17" s="10" t="s">
        <v>482</v>
      </c>
      <c r="D17" s="10" t="s">
        <v>927</v>
      </c>
      <c r="E17" s="10" t="s">
        <v>891</v>
      </c>
      <c r="F17" s="10" t="s">
        <v>898</v>
      </c>
      <c r="G17" s="10" t="s">
        <v>893</v>
      </c>
      <c r="H17" s="10" t="s">
        <v>894</v>
      </c>
      <c r="I17" s="10" t="s">
        <v>123</v>
      </c>
      <c r="J17" s="10" t="s">
        <v>895</v>
      </c>
    </row>
    <row r="18" spans="1:10" ht="45" customHeight="1">
      <c r="A18" s="9" t="s">
        <v>928</v>
      </c>
      <c r="B18" s="9" t="s">
        <v>889</v>
      </c>
      <c r="C18" s="9" t="s">
        <v>482</v>
      </c>
      <c r="D18" s="9" t="s">
        <v>929</v>
      </c>
      <c r="E18" s="9" t="s">
        <v>891</v>
      </c>
      <c r="F18" s="9" t="s">
        <v>904</v>
      </c>
      <c r="G18" s="9" t="s">
        <v>893</v>
      </c>
      <c r="H18" s="9" t="s">
        <v>905</v>
      </c>
      <c r="I18" s="9" t="s">
        <v>906</v>
      </c>
      <c r="J18" s="9" t="s">
        <v>907</v>
      </c>
    </row>
    <row r="19" spans="1:10" ht="45" customHeight="1">
      <c r="A19" s="10" t="s">
        <v>930</v>
      </c>
      <c r="B19" s="10" t="s">
        <v>889</v>
      </c>
      <c r="C19" s="10" t="s">
        <v>482</v>
      </c>
      <c r="D19" s="10" t="s">
        <v>931</v>
      </c>
      <c r="E19" s="10" t="s">
        <v>891</v>
      </c>
      <c r="F19" s="10" t="s">
        <v>904</v>
      </c>
      <c r="G19" s="10" t="s">
        <v>893</v>
      </c>
      <c r="H19" s="10" t="s">
        <v>905</v>
      </c>
      <c r="I19" s="10" t="s">
        <v>906</v>
      </c>
      <c r="J19" s="10" t="s">
        <v>907</v>
      </c>
    </row>
    <row r="20" spans="1:10" ht="45" customHeight="1">
      <c r="A20" s="9" t="s">
        <v>932</v>
      </c>
      <c r="B20" s="9" t="s">
        <v>889</v>
      </c>
      <c r="C20" s="9" t="s">
        <v>482</v>
      </c>
      <c r="D20" s="9" t="s">
        <v>933</v>
      </c>
      <c r="E20" s="9" t="s">
        <v>891</v>
      </c>
      <c r="F20" s="9" t="s">
        <v>898</v>
      </c>
      <c r="G20" s="9" t="s">
        <v>899</v>
      </c>
      <c r="H20" s="9" t="s">
        <v>894</v>
      </c>
      <c r="I20" s="9" t="s">
        <v>123</v>
      </c>
      <c r="J20" s="9" t="s">
        <v>895</v>
      </c>
    </row>
    <row r="21" spans="1:10" ht="45" customHeight="1">
      <c r="A21" s="10" t="s">
        <v>934</v>
      </c>
      <c r="B21" s="10" t="s">
        <v>889</v>
      </c>
      <c r="C21" s="10" t="s">
        <v>493</v>
      </c>
      <c r="D21" s="10" t="s">
        <v>935</v>
      </c>
      <c r="E21" s="10" t="s">
        <v>891</v>
      </c>
      <c r="F21" s="10" t="s">
        <v>764</v>
      </c>
      <c r="G21" s="10" t="s">
        <v>899</v>
      </c>
      <c r="H21" s="10" t="s">
        <v>936</v>
      </c>
      <c r="I21" s="10" t="s">
        <v>123</v>
      </c>
      <c r="J21" s="10" t="s">
        <v>895</v>
      </c>
    </row>
    <row r="22" spans="1:10" ht="45" customHeight="1">
      <c r="A22" s="9" t="s">
        <v>937</v>
      </c>
      <c r="B22" s="9" t="s">
        <v>889</v>
      </c>
      <c r="C22" s="9" t="s">
        <v>493</v>
      </c>
      <c r="D22" s="9" t="s">
        <v>938</v>
      </c>
      <c r="E22" s="9" t="s">
        <v>891</v>
      </c>
      <c r="F22" s="9" t="s">
        <v>764</v>
      </c>
      <c r="G22" s="9" t="s">
        <v>899</v>
      </c>
      <c r="H22" s="9" t="s">
        <v>939</v>
      </c>
      <c r="I22" s="9" t="s">
        <v>123</v>
      </c>
      <c r="J22" s="9" t="s">
        <v>895</v>
      </c>
    </row>
    <row r="23" spans="1:10" ht="45" customHeight="1">
      <c r="A23" s="10" t="s">
        <v>940</v>
      </c>
      <c r="B23" s="10" t="s">
        <v>889</v>
      </c>
      <c r="C23" s="10" t="s">
        <v>493</v>
      </c>
      <c r="D23" s="10" t="s">
        <v>941</v>
      </c>
      <c r="E23" s="10" t="s">
        <v>891</v>
      </c>
      <c r="F23" s="10" t="s">
        <v>764</v>
      </c>
      <c r="G23" s="10" t="s">
        <v>893</v>
      </c>
      <c r="H23" s="10" t="s">
        <v>939</v>
      </c>
      <c r="I23" s="10" t="s">
        <v>123</v>
      </c>
      <c r="J23" s="10" t="s">
        <v>895</v>
      </c>
    </row>
    <row r="24" spans="1:10" ht="45" customHeight="1">
      <c r="A24" s="9" t="s">
        <v>942</v>
      </c>
      <c r="B24" s="9" t="s">
        <v>889</v>
      </c>
      <c r="C24" s="9" t="s">
        <v>493</v>
      </c>
      <c r="D24" s="9" t="s">
        <v>943</v>
      </c>
      <c r="E24" s="9" t="s">
        <v>891</v>
      </c>
      <c r="F24" s="9" t="s">
        <v>764</v>
      </c>
      <c r="G24" s="9" t="s">
        <v>899</v>
      </c>
      <c r="H24" s="9" t="s">
        <v>936</v>
      </c>
      <c r="I24" s="9" t="s">
        <v>123</v>
      </c>
      <c r="J24" s="9" t="s">
        <v>895</v>
      </c>
    </row>
    <row r="25" spans="1:10" ht="45" customHeight="1">
      <c r="A25" s="10" t="s">
        <v>944</v>
      </c>
      <c r="B25" s="10" t="s">
        <v>889</v>
      </c>
      <c r="C25" s="10" t="s">
        <v>493</v>
      </c>
      <c r="D25" s="10" t="s">
        <v>945</v>
      </c>
      <c r="E25" s="10" t="s">
        <v>891</v>
      </c>
      <c r="F25" s="10" t="s">
        <v>764</v>
      </c>
      <c r="G25" s="10" t="s">
        <v>899</v>
      </c>
      <c r="H25" s="10" t="s">
        <v>936</v>
      </c>
      <c r="I25" s="10" t="s">
        <v>123</v>
      </c>
      <c r="J25" s="10" t="s">
        <v>895</v>
      </c>
    </row>
    <row r="26" spans="1:10" ht="45" customHeight="1">
      <c r="A26" s="9" t="s">
        <v>946</v>
      </c>
      <c r="B26" s="9" t="s">
        <v>889</v>
      </c>
      <c r="C26" s="9" t="s">
        <v>493</v>
      </c>
      <c r="D26" s="9" t="s">
        <v>947</v>
      </c>
      <c r="E26" s="9" t="s">
        <v>891</v>
      </c>
      <c r="F26" s="9" t="s">
        <v>764</v>
      </c>
      <c r="G26" s="9" t="s">
        <v>893</v>
      </c>
      <c r="H26" s="9" t="s">
        <v>939</v>
      </c>
      <c r="I26" s="9" t="s">
        <v>123</v>
      </c>
      <c r="J26" s="9" t="s">
        <v>895</v>
      </c>
    </row>
    <row r="27" spans="1:10" ht="45" customHeight="1">
      <c r="A27" s="10" t="s">
        <v>948</v>
      </c>
      <c r="B27" s="10" t="s">
        <v>889</v>
      </c>
      <c r="C27" s="10" t="s">
        <v>493</v>
      </c>
      <c r="D27" s="10" t="s">
        <v>949</v>
      </c>
      <c r="E27" s="10" t="s">
        <v>891</v>
      </c>
      <c r="F27" s="10" t="s">
        <v>764</v>
      </c>
      <c r="G27" s="10" t="s">
        <v>899</v>
      </c>
      <c r="H27" s="10" t="s">
        <v>950</v>
      </c>
      <c r="I27" s="10" t="s">
        <v>123</v>
      </c>
      <c r="J27" s="10" t="s">
        <v>895</v>
      </c>
    </row>
    <row r="28" spans="1:10" ht="45" customHeight="1">
      <c r="A28" s="9" t="s">
        <v>951</v>
      </c>
      <c r="B28" s="9" t="s">
        <v>889</v>
      </c>
      <c r="C28" s="9" t="s">
        <v>493</v>
      </c>
      <c r="D28" s="9" t="s">
        <v>952</v>
      </c>
      <c r="E28" s="9" t="s">
        <v>891</v>
      </c>
      <c r="F28" s="9" t="s">
        <v>772</v>
      </c>
      <c r="G28" s="9" t="s">
        <v>899</v>
      </c>
      <c r="H28" s="9" t="s">
        <v>953</v>
      </c>
      <c r="I28" s="9" t="s">
        <v>123</v>
      </c>
      <c r="J28" s="9" t="s">
        <v>895</v>
      </c>
    </row>
    <row r="29" spans="1:10" ht="45" customHeight="1">
      <c r="A29" s="10" t="s">
        <v>954</v>
      </c>
      <c r="B29" s="10" t="s">
        <v>889</v>
      </c>
      <c r="C29" s="10" t="s">
        <v>493</v>
      </c>
      <c r="D29" s="10" t="s">
        <v>955</v>
      </c>
      <c r="E29" s="10" t="s">
        <v>891</v>
      </c>
      <c r="F29" s="10" t="s">
        <v>764</v>
      </c>
      <c r="G29" s="10" t="s">
        <v>899</v>
      </c>
      <c r="H29" s="10" t="s">
        <v>939</v>
      </c>
      <c r="I29" s="10" t="s">
        <v>123</v>
      </c>
      <c r="J29" s="10" t="s">
        <v>895</v>
      </c>
    </row>
    <row r="30" spans="1:10" ht="45" customHeight="1">
      <c r="A30" s="9" t="s">
        <v>956</v>
      </c>
      <c r="B30" s="9" t="s">
        <v>889</v>
      </c>
      <c r="C30" s="9" t="s">
        <v>493</v>
      </c>
      <c r="D30" s="9" t="s">
        <v>957</v>
      </c>
      <c r="E30" s="9" t="s">
        <v>891</v>
      </c>
      <c r="F30" s="9" t="s">
        <v>764</v>
      </c>
      <c r="G30" s="9" t="s">
        <v>893</v>
      </c>
      <c r="H30" s="9" t="s">
        <v>939</v>
      </c>
      <c r="I30" s="9" t="s">
        <v>123</v>
      </c>
      <c r="J30" s="9" t="s">
        <v>895</v>
      </c>
    </row>
    <row r="31" spans="1:10" ht="45" customHeight="1">
      <c r="A31" s="10" t="s">
        <v>958</v>
      </c>
      <c r="B31" s="10" t="s">
        <v>889</v>
      </c>
      <c r="C31" s="10" t="s">
        <v>493</v>
      </c>
      <c r="D31" s="10" t="s">
        <v>959</v>
      </c>
      <c r="E31" s="10" t="s">
        <v>891</v>
      </c>
      <c r="F31" s="10" t="s">
        <v>764</v>
      </c>
      <c r="G31" s="10" t="s">
        <v>893</v>
      </c>
      <c r="H31" s="10" t="s">
        <v>939</v>
      </c>
      <c r="I31" s="10" t="s">
        <v>123</v>
      </c>
      <c r="J31" s="10" t="s">
        <v>895</v>
      </c>
    </row>
    <row r="32" spans="1:10" ht="45" customHeight="1">
      <c r="A32" s="9" t="s">
        <v>960</v>
      </c>
      <c r="B32" s="9" t="s">
        <v>889</v>
      </c>
      <c r="C32" s="9" t="s">
        <v>493</v>
      </c>
      <c r="D32" s="9" t="s">
        <v>961</v>
      </c>
      <c r="E32" s="9" t="s">
        <v>891</v>
      </c>
      <c r="F32" s="9" t="s">
        <v>764</v>
      </c>
      <c r="G32" s="9" t="s">
        <v>899</v>
      </c>
      <c r="H32" s="9" t="s">
        <v>936</v>
      </c>
      <c r="I32" s="9" t="s">
        <v>123</v>
      </c>
      <c r="J32" s="9" t="s">
        <v>895</v>
      </c>
    </row>
    <row r="33" spans="1:10" ht="45" customHeight="1">
      <c r="A33" s="10" t="s">
        <v>962</v>
      </c>
      <c r="B33" s="10" t="s">
        <v>889</v>
      </c>
      <c r="C33" s="10" t="s">
        <v>493</v>
      </c>
      <c r="D33" s="10" t="s">
        <v>963</v>
      </c>
      <c r="E33" s="10" t="s">
        <v>891</v>
      </c>
      <c r="F33" s="10" t="s">
        <v>964</v>
      </c>
      <c r="G33" s="10" t="s">
        <v>899</v>
      </c>
      <c r="H33" s="10" t="s">
        <v>939</v>
      </c>
      <c r="I33" s="10" t="s">
        <v>123</v>
      </c>
      <c r="J33" s="10" t="s">
        <v>895</v>
      </c>
    </row>
    <row r="34" spans="1:10" ht="45" customHeight="1">
      <c r="A34" s="9" t="s">
        <v>965</v>
      </c>
      <c r="B34" s="9" t="s">
        <v>889</v>
      </c>
      <c r="C34" s="9"/>
      <c r="D34" s="9" t="s">
        <v>966</v>
      </c>
      <c r="E34" s="9" t="s">
        <v>891</v>
      </c>
      <c r="F34" s="9" t="s">
        <v>904</v>
      </c>
      <c r="G34" s="9" t="s">
        <v>893</v>
      </c>
      <c r="H34" s="9" t="s">
        <v>905</v>
      </c>
      <c r="I34" s="9" t="s">
        <v>906</v>
      </c>
      <c r="J34" s="9" t="s">
        <v>907</v>
      </c>
    </row>
  </sheetData>
  <autoFilter ref="A3:J34" xr:uid="{00000000-0009-0000-0000-000009000000}"/>
  <mergeCells count="1">
    <mergeCell ref="A1:J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6"/>
  <sheetViews>
    <sheetView showGridLines="0" tabSelected="1" workbookViewId="0">
      <pane ySplit="3" topLeftCell="D4" activePane="bottomLeft" state="frozen"/>
      <selection pane="bottomLeft"/>
    </sheetView>
  </sheetViews>
  <sheetFormatPr defaultRowHeight="15"/>
  <cols>
    <col min="1" max="1" width="23" customWidth="1"/>
    <col min="2" max="2" width="45" customWidth="1"/>
    <col min="3" max="4" width="12" customWidth="1"/>
    <col min="5" max="6" width="45" customWidth="1"/>
    <col min="7" max="7" width="23" customWidth="1"/>
    <col min="8" max="8" width="30" customWidth="1"/>
    <col min="9" max="9" width="32" customWidth="1"/>
    <col min="10" max="10" width="45" customWidth="1"/>
  </cols>
  <sheetData>
    <row r="1" spans="1:10" ht="26.1" customHeight="1">
      <c r="A1" s="16" t="s">
        <v>967</v>
      </c>
      <c r="B1" s="17"/>
      <c r="C1" s="17"/>
      <c r="D1" s="17"/>
      <c r="E1" s="17"/>
      <c r="F1" s="17"/>
      <c r="G1" s="17"/>
      <c r="H1" s="17"/>
      <c r="I1" s="17"/>
      <c r="J1" s="17"/>
    </row>
    <row r="3" spans="1:10">
      <c r="A3" s="2" t="s">
        <v>226</v>
      </c>
      <c r="B3" s="2" t="s">
        <v>62</v>
      </c>
      <c r="C3" s="2" t="s">
        <v>216</v>
      </c>
      <c r="D3" s="2" t="s">
        <v>154</v>
      </c>
      <c r="E3" s="2" t="s">
        <v>184</v>
      </c>
      <c r="F3" s="2" t="s">
        <v>186</v>
      </c>
      <c r="G3" s="2" t="s">
        <v>188</v>
      </c>
      <c r="H3" s="2" t="s">
        <v>162</v>
      </c>
      <c r="I3" s="2" t="s">
        <v>228</v>
      </c>
      <c r="J3" s="2" t="s">
        <v>61</v>
      </c>
    </row>
    <row r="4" spans="1:10" ht="45" customHeight="1">
      <c r="A4" s="9" t="s">
        <v>968</v>
      </c>
      <c r="B4" s="9" t="s">
        <v>969</v>
      </c>
      <c r="C4" s="9" t="s">
        <v>888</v>
      </c>
      <c r="D4" s="9" t="s">
        <v>482</v>
      </c>
      <c r="E4" s="9" t="s">
        <v>579</v>
      </c>
      <c r="F4" s="9" t="s">
        <v>580</v>
      </c>
      <c r="G4" s="9" t="s">
        <v>565</v>
      </c>
      <c r="H4" s="9" t="s">
        <v>892</v>
      </c>
      <c r="I4" s="9" t="s">
        <v>899</v>
      </c>
      <c r="J4" s="9" t="s">
        <v>123</v>
      </c>
    </row>
    <row r="5" spans="1:10" ht="45" customHeight="1">
      <c r="A5" s="10" t="s">
        <v>970</v>
      </c>
      <c r="B5" s="10" t="s">
        <v>969</v>
      </c>
      <c r="C5" s="10" t="s">
        <v>896</v>
      </c>
      <c r="D5" s="10" t="s">
        <v>482</v>
      </c>
      <c r="E5" s="10" t="s">
        <v>579</v>
      </c>
      <c r="F5" s="10" t="s">
        <v>580</v>
      </c>
      <c r="G5" s="10" t="s">
        <v>565</v>
      </c>
      <c r="H5" s="10" t="s">
        <v>898</v>
      </c>
      <c r="I5" s="10" t="s">
        <v>899</v>
      </c>
      <c r="J5" s="10" t="s">
        <v>123</v>
      </c>
    </row>
    <row r="6" spans="1:10" ht="45" customHeight="1">
      <c r="A6" s="9" t="s">
        <v>971</v>
      </c>
      <c r="B6" s="9" t="s">
        <v>969</v>
      </c>
      <c r="C6" s="9" t="s">
        <v>900</v>
      </c>
      <c r="D6" s="9" t="s">
        <v>482</v>
      </c>
      <c r="E6" s="9" t="s">
        <v>607</v>
      </c>
      <c r="F6" s="9" t="s">
        <v>608</v>
      </c>
      <c r="G6" s="9" t="s">
        <v>565</v>
      </c>
      <c r="H6" s="9" t="s">
        <v>772</v>
      </c>
      <c r="I6" s="9" t="s">
        <v>899</v>
      </c>
      <c r="J6" s="9" t="s">
        <v>123</v>
      </c>
    </row>
    <row r="7" spans="1:10" ht="45" customHeight="1">
      <c r="A7" s="10" t="s">
        <v>972</v>
      </c>
      <c r="B7" s="10" t="s">
        <v>969</v>
      </c>
      <c r="C7" s="10" t="s">
        <v>902</v>
      </c>
      <c r="D7" s="10" t="s">
        <v>482</v>
      </c>
      <c r="E7" s="10" t="s">
        <v>614</v>
      </c>
      <c r="F7" s="10" t="s">
        <v>615</v>
      </c>
      <c r="G7" s="10" t="s">
        <v>565</v>
      </c>
      <c r="H7" s="10" t="s">
        <v>904</v>
      </c>
      <c r="I7" s="10" t="s">
        <v>973</v>
      </c>
      <c r="J7" s="10" t="s">
        <v>906</v>
      </c>
    </row>
    <row r="8" spans="1:10" ht="45" customHeight="1">
      <c r="A8" s="9" t="s">
        <v>974</v>
      </c>
      <c r="B8" s="9" t="s">
        <v>969</v>
      </c>
      <c r="C8" s="9" t="s">
        <v>908</v>
      </c>
      <c r="D8" s="9" t="s">
        <v>482</v>
      </c>
      <c r="E8" s="9" t="s">
        <v>657</v>
      </c>
      <c r="F8" s="9" t="s">
        <v>658</v>
      </c>
      <c r="G8" s="9" t="s">
        <v>630</v>
      </c>
      <c r="H8" s="9" t="s">
        <v>904</v>
      </c>
      <c r="I8" s="9" t="s">
        <v>973</v>
      </c>
      <c r="J8" s="9" t="s">
        <v>906</v>
      </c>
    </row>
    <row r="9" spans="1:10" ht="45" customHeight="1">
      <c r="A9" s="10" t="s">
        <v>975</v>
      </c>
      <c r="B9" s="10" t="s">
        <v>969</v>
      </c>
      <c r="C9" s="10" t="s">
        <v>910</v>
      </c>
      <c r="D9" s="10" t="s">
        <v>482</v>
      </c>
      <c r="E9" s="10" t="s">
        <v>621</v>
      </c>
      <c r="F9" s="10" t="s">
        <v>622</v>
      </c>
      <c r="G9" s="10" t="s">
        <v>565</v>
      </c>
      <c r="H9" s="10" t="s">
        <v>904</v>
      </c>
      <c r="I9" s="10" t="s">
        <v>973</v>
      </c>
      <c r="J9" s="10" t="s">
        <v>906</v>
      </c>
    </row>
    <row r="10" spans="1:10" ht="45" customHeight="1">
      <c r="A10" s="9" t="s">
        <v>976</v>
      </c>
      <c r="B10" s="9" t="s">
        <v>969</v>
      </c>
      <c r="C10" s="9" t="s">
        <v>912</v>
      </c>
      <c r="D10" s="9" t="s">
        <v>482</v>
      </c>
      <c r="E10" s="9" t="s">
        <v>563</v>
      </c>
      <c r="F10" s="9" t="s">
        <v>564</v>
      </c>
      <c r="G10" s="9" t="s">
        <v>565</v>
      </c>
      <c r="H10" s="9" t="s">
        <v>904</v>
      </c>
      <c r="I10" s="9" t="s">
        <v>973</v>
      </c>
      <c r="J10" s="9" t="s">
        <v>906</v>
      </c>
    </row>
    <row r="11" spans="1:10" ht="45" customHeight="1">
      <c r="A11" s="10" t="s">
        <v>977</v>
      </c>
      <c r="B11" s="10" t="s">
        <v>969</v>
      </c>
      <c r="C11" s="10" t="s">
        <v>914</v>
      </c>
      <c r="D11" s="10" t="s">
        <v>482</v>
      </c>
      <c r="E11" s="10" t="s">
        <v>572</v>
      </c>
      <c r="F11" s="10" t="s">
        <v>573</v>
      </c>
      <c r="G11" s="10" t="s">
        <v>565</v>
      </c>
      <c r="H11" s="10" t="s">
        <v>904</v>
      </c>
      <c r="I11" s="10" t="s">
        <v>973</v>
      </c>
      <c r="J11" s="10" t="s">
        <v>906</v>
      </c>
    </row>
    <row r="12" spans="1:10" ht="45" customHeight="1">
      <c r="A12" s="9" t="s">
        <v>978</v>
      </c>
      <c r="B12" s="9" t="s">
        <v>969</v>
      </c>
      <c r="C12" s="9" t="s">
        <v>916</v>
      </c>
      <c r="D12" s="9" t="s">
        <v>482</v>
      </c>
      <c r="E12" s="9" t="s">
        <v>628</v>
      </c>
      <c r="F12" s="9" t="s">
        <v>629</v>
      </c>
      <c r="G12" s="9" t="s">
        <v>630</v>
      </c>
      <c r="H12" s="9" t="s">
        <v>904</v>
      </c>
      <c r="I12" s="9" t="s">
        <v>973</v>
      </c>
      <c r="J12" s="9" t="s">
        <v>906</v>
      </c>
    </row>
    <row r="13" spans="1:10" ht="45" customHeight="1">
      <c r="A13" s="10" t="s">
        <v>979</v>
      </c>
      <c r="B13" s="10" t="s">
        <v>969</v>
      </c>
      <c r="C13" s="10" t="s">
        <v>918</v>
      </c>
      <c r="D13" s="10" t="s">
        <v>482</v>
      </c>
      <c r="E13" s="10" t="s">
        <v>586</v>
      </c>
      <c r="F13" s="10" t="s">
        <v>587</v>
      </c>
      <c r="G13" s="10" t="s">
        <v>565</v>
      </c>
      <c r="H13" s="10" t="s">
        <v>904</v>
      </c>
      <c r="I13" s="10" t="s">
        <v>973</v>
      </c>
      <c r="J13" s="10" t="s">
        <v>906</v>
      </c>
    </row>
    <row r="14" spans="1:10" ht="45" customHeight="1">
      <c r="A14" s="9" t="s">
        <v>980</v>
      </c>
      <c r="B14" s="9" t="s">
        <v>969</v>
      </c>
      <c r="C14" s="9" t="s">
        <v>920</v>
      </c>
      <c r="D14" s="9" t="s">
        <v>482</v>
      </c>
      <c r="E14" s="9" t="s">
        <v>664</v>
      </c>
      <c r="F14" s="9" t="s">
        <v>665</v>
      </c>
      <c r="G14" s="9" t="s">
        <v>630</v>
      </c>
      <c r="H14" s="9" t="s">
        <v>904</v>
      </c>
      <c r="I14" s="9" t="s">
        <v>973</v>
      </c>
      <c r="J14" s="9" t="s">
        <v>906</v>
      </c>
    </row>
    <row r="15" spans="1:10" ht="45" customHeight="1">
      <c r="A15" s="10" t="s">
        <v>981</v>
      </c>
      <c r="B15" s="10" t="s">
        <v>969</v>
      </c>
      <c r="C15" s="10" t="s">
        <v>922</v>
      </c>
      <c r="D15" s="10" t="s">
        <v>482</v>
      </c>
      <c r="E15" s="10" t="s">
        <v>671</v>
      </c>
      <c r="F15" s="10" t="s">
        <v>672</v>
      </c>
      <c r="G15" s="10" t="s">
        <v>630</v>
      </c>
      <c r="H15" s="10" t="s">
        <v>904</v>
      </c>
      <c r="I15" s="10" t="s">
        <v>973</v>
      </c>
      <c r="J15" s="10" t="s">
        <v>906</v>
      </c>
    </row>
    <row r="16" spans="1:10" ht="45" customHeight="1">
      <c r="A16" s="9" t="s">
        <v>982</v>
      </c>
      <c r="B16" s="9" t="s">
        <v>969</v>
      </c>
      <c r="C16" s="9" t="s">
        <v>924</v>
      </c>
      <c r="D16" s="9" t="s">
        <v>482</v>
      </c>
      <c r="E16" s="9" t="s">
        <v>636</v>
      </c>
      <c r="F16" s="9" t="s">
        <v>637</v>
      </c>
      <c r="G16" s="9" t="s">
        <v>630</v>
      </c>
      <c r="H16" s="9" t="s">
        <v>904</v>
      </c>
      <c r="I16" s="9" t="s">
        <v>973</v>
      </c>
      <c r="J16" s="9" t="s">
        <v>906</v>
      </c>
    </row>
    <row r="17" spans="1:10" ht="45" customHeight="1">
      <c r="A17" s="10" t="s">
        <v>983</v>
      </c>
      <c r="B17" s="10" t="s">
        <v>969</v>
      </c>
      <c r="C17" s="10" t="s">
        <v>926</v>
      </c>
      <c r="D17" s="10" t="s">
        <v>482</v>
      </c>
      <c r="E17" s="10" t="s">
        <v>650</v>
      </c>
      <c r="F17" s="10" t="s">
        <v>651</v>
      </c>
      <c r="G17" s="10" t="s">
        <v>630</v>
      </c>
      <c r="H17" s="10" t="s">
        <v>898</v>
      </c>
      <c r="I17" s="10" t="s">
        <v>899</v>
      </c>
      <c r="J17" s="10" t="s">
        <v>123</v>
      </c>
    </row>
    <row r="18" spans="1:10" ht="45" customHeight="1">
      <c r="A18" s="9" t="s">
        <v>984</v>
      </c>
      <c r="B18" s="9" t="s">
        <v>969</v>
      </c>
      <c r="C18" s="9" t="s">
        <v>928</v>
      </c>
      <c r="D18" s="9" t="s">
        <v>482</v>
      </c>
      <c r="E18" s="9" t="s">
        <v>593</v>
      </c>
      <c r="F18" s="9" t="s">
        <v>594</v>
      </c>
      <c r="G18" s="9" t="s">
        <v>565</v>
      </c>
      <c r="H18" s="9" t="s">
        <v>904</v>
      </c>
      <c r="I18" s="9" t="s">
        <v>973</v>
      </c>
      <c r="J18" s="9" t="s">
        <v>906</v>
      </c>
    </row>
    <row r="19" spans="1:10" ht="45" customHeight="1">
      <c r="A19" s="10" t="s">
        <v>985</v>
      </c>
      <c r="B19" s="10" t="s">
        <v>969</v>
      </c>
      <c r="C19" s="10" t="s">
        <v>930</v>
      </c>
      <c r="D19" s="10" t="s">
        <v>482</v>
      </c>
      <c r="E19" s="10" t="s">
        <v>600</v>
      </c>
      <c r="F19" s="10" t="s">
        <v>601</v>
      </c>
      <c r="G19" s="10" t="s">
        <v>565</v>
      </c>
      <c r="H19" s="10" t="s">
        <v>904</v>
      </c>
      <c r="I19" s="10" t="s">
        <v>973</v>
      </c>
      <c r="J19" s="10" t="s">
        <v>906</v>
      </c>
    </row>
    <row r="20" spans="1:10" ht="45" customHeight="1">
      <c r="A20" s="9" t="s">
        <v>986</v>
      </c>
      <c r="B20" s="9" t="s">
        <v>969</v>
      </c>
      <c r="C20" s="9" t="s">
        <v>932</v>
      </c>
      <c r="D20" s="9" t="s">
        <v>482</v>
      </c>
      <c r="E20" s="9" t="s">
        <v>643</v>
      </c>
      <c r="F20" s="9" t="s">
        <v>644</v>
      </c>
      <c r="G20" s="9" t="s">
        <v>630</v>
      </c>
      <c r="H20" s="9" t="s">
        <v>898</v>
      </c>
      <c r="I20" s="9" t="s">
        <v>899</v>
      </c>
      <c r="J20" s="9" t="s">
        <v>123</v>
      </c>
    </row>
    <row r="21" spans="1:10" ht="45" customHeight="1">
      <c r="A21" s="10" t="s">
        <v>987</v>
      </c>
      <c r="B21" s="10" t="s">
        <v>969</v>
      </c>
      <c r="C21" s="10" t="s">
        <v>934</v>
      </c>
      <c r="D21" s="10" t="s">
        <v>493</v>
      </c>
      <c r="E21" s="10" t="s">
        <v>711</v>
      </c>
      <c r="F21" s="10" t="s">
        <v>712</v>
      </c>
      <c r="G21" s="10" t="s">
        <v>565</v>
      </c>
      <c r="H21" s="10" t="s">
        <v>764</v>
      </c>
      <c r="I21" s="10" t="s">
        <v>899</v>
      </c>
      <c r="J21" s="10" t="s">
        <v>123</v>
      </c>
    </row>
    <row r="22" spans="1:10" ht="45" customHeight="1">
      <c r="A22" s="9" t="s">
        <v>988</v>
      </c>
      <c r="B22" s="9" t="s">
        <v>969</v>
      </c>
      <c r="C22" s="9" t="s">
        <v>937</v>
      </c>
      <c r="D22" s="9" t="s">
        <v>493</v>
      </c>
      <c r="E22" s="9" t="s">
        <v>718</v>
      </c>
      <c r="F22" s="9" t="s">
        <v>719</v>
      </c>
      <c r="G22" s="9" t="s">
        <v>565</v>
      </c>
      <c r="H22" s="9" t="s">
        <v>764</v>
      </c>
      <c r="I22" s="9" t="s">
        <v>899</v>
      </c>
      <c r="J22" s="9" t="s">
        <v>123</v>
      </c>
    </row>
    <row r="23" spans="1:10" ht="45" customHeight="1">
      <c r="A23" s="10" t="s">
        <v>989</v>
      </c>
      <c r="B23" s="10" t="s">
        <v>969</v>
      </c>
      <c r="C23" s="10" t="s">
        <v>940</v>
      </c>
      <c r="D23" s="10" t="s">
        <v>493</v>
      </c>
      <c r="E23" s="10" t="s">
        <v>743</v>
      </c>
      <c r="F23" s="10" t="s">
        <v>744</v>
      </c>
      <c r="G23" s="10" t="s">
        <v>737</v>
      </c>
      <c r="H23" s="10" t="s">
        <v>764</v>
      </c>
      <c r="I23" s="10" t="s">
        <v>899</v>
      </c>
      <c r="J23" s="10" t="s">
        <v>123</v>
      </c>
    </row>
    <row r="24" spans="1:10" ht="45" customHeight="1">
      <c r="A24" s="9" t="s">
        <v>990</v>
      </c>
      <c r="B24" s="9" t="s">
        <v>969</v>
      </c>
      <c r="C24" s="9" t="s">
        <v>942</v>
      </c>
      <c r="D24" s="9" t="s">
        <v>493</v>
      </c>
      <c r="E24" s="9" t="s">
        <v>725</v>
      </c>
      <c r="F24" s="9" t="s">
        <v>726</v>
      </c>
      <c r="G24" s="9" t="s">
        <v>565</v>
      </c>
      <c r="H24" s="9" t="s">
        <v>764</v>
      </c>
      <c r="I24" s="9" t="s">
        <v>899</v>
      </c>
      <c r="J24" s="9" t="s">
        <v>123</v>
      </c>
    </row>
    <row r="25" spans="1:10" ht="45" customHeight="1">
      <c r="A25" s="10" t="s">
        <v>991</v>
      </c>
      <c r="B25" s="10" t="s">
        <v>969</v>
      </c>
      <c r="C25" s="10" t="s">
        <v>944</v>
      </c>
      <c r="D25" s="10" t="s">
        <v>493</v>
      </c>
      <c r="E25" s="10" t="s">
        <v>697</v>
      </c>
      <c r="F25" s="10" t="s">
        <v>698</v>
      </c>
      <c r="G25" s="10" t="s">
        <v>565</v>
      </c>
      <c r="H25" s="10" t="s">
        <v>764</v>
      </c>
      <c r="I25" s="10" t="s">
        <v>899</v>
      </c>
      <c r="J25" s="10" t="s">
        <v>123</v>
      </c>
    </row>
    <row r="26" spans="1:10" ht="45" customHeight="1">
      <c r="A26" s="9" t="s">
        <v>992</v>
      </c>
      <c r="B26" s="9" t="s">
        <v>969</v>
      </c>
      <c r="C26" s="9" t="s">
        <v>946</v>
      </c>
      <c r="D26" s="9" t="s">
        <v>493</v>
      </c>
      <c r="E26" s="9" t="s">
        <v>735</v>
      </c>
      <c r="F26" s="9" t="s">
        <v>736</v>
      </c>
      <c r="G26" s="9" t="s">
        <v>737</v>
      </c>
      <c r="H26" s="9" t="s">
        <v>764</v>
      </c>
      <c r="I26" s="9" t="s">
        <v>899</v>
      </c>
      <c r="J26" s="9" t="s">
        <v>123</v>
      </c>
    </row>
    <row r="27" spans="1:10" ht="45" customHeight="1">
      <c r="A27" s="10" t="s">
        <v>993</v>
      </c>
      <c r="B27" s="10" t="s">
        <v>969</v>
      </c>
      <c r="C27" s="10" t="s">
        <v>948</v>
      </c>
      <c r="D27" s="10" t="s">
        <v>493</v>
      </c>
      <c r="E27" s="10" t="s">
        <v>678</v>
      </c>
      <c r="F27" s="10" t="s">
        <v>564</v>
      </c>
      <c r="G27" s="10" t="s">
        <v>565</v>
      </c>
      <c r="H27" s="10" t="s">
        <v>764</v>
      </c>
      <c r="I27" s="10" t="s">
        <v>899</v>
      </c>
      <c r="J27" s="10" t="s">
        <v>123</v>
      </c>
    </row>
    <row r="28" spans="1:10" ht="45" customHeight="1">
      <c r="A28" s="9" t="s">
        <v>994</v>
      </c>
      <c r="B28" s="9" t="s">
        <v>969</v>
      </c>
      <c r="C28" s="9" t="s">
        <v>951</v>
      </c>
      <c r="D28" s="9" t="s">
        <v>493</v>
      </c>
      <c r="E28" s="9" t="s">
        <v>690</v>
      </c>
      <c r="F28" s="9" t="s">
        <v>691</v>
      </c>
      <c r="G28" s="9" t="s">
        <v>565</v>
      </c>
      <c r="H28" s="9" t="s">
        <v>772</v>
      </c>
      <c r="I28" s="9" t="s">
        <v>899</v>
      </c>
      <c r="J28" s="9" t="s">
        <v>123</v>
      </c>
    </row>
    <row r="29" spans="1:10" ht="45" customHeight="1">
      <c r="A29" s="10" t="s">
        <v>995</v>
      </c>
      <c r="B29" s="10" t="s">
        <v>969</v>
      </c>
      <c r="C29" s="10" t="s">
        <v>954</v>
      </c>
      <c r="D29" s="10" t="s">
        <v>493</v>
      </c>
      <c r="E29" s="10" t="s">
        <v>690</v>
      </c>
      <c r="F29" s="10" t="s">
        <v>691</v>
      </c>
      <c r="G29" s="10" t="s">
        <v>565</v>
      </c>
      <c r="H29" s="10" t="s">
        <v>764</v>
      </c>
      <c r="I29" s="10" t="s">
        <v>899</v>
      </c>
      <c r="J29" s="10" t="s">
        <v>123</v>
      </c>
    </row>
    <row r="30" spans="1:10" ht="45" customHeight="1">
      <c r="A30" s="9" t="s">
        <v>996</v>
      </c>
      <c r="B30" s="9" t="s">
        <v>969</v>
      </c>
      <c r="C30" s="9" t="s">
        <v>956</v>
      </c>
      <c r="D30" s="9" t="s">
        <v>493</v>
      </c>
      <c r="E30" s="9" t="s">
        <v>683</v>
      </c>
      <c r="F30" s="9" t="s">
        <v>684</v>
      </c>
      <c r="G30" s="9" t="s">
        <v>565</v>
      </c>
      <c r="H30" s="9" t="s">
        <v>764</v>
      </c>
      <c r="I30" s="9" t="s">
        <v>899</v>
      </c>
      <c r="J30" s="9" t="s">
        <v>123</v>
      </c>
    </row>
    <row r="31" spans="1:10" ht="45" customHeight="1">
      <c r="A31" s="10" t="s">
        <v>997</v>
      </c>
      <c r="B31" s="10" t="s">
        <v>969</v>
      </c>
      <c r="C31" s="10" t="s">
        <v>958</v>
      </c>
      <c r="D31" s="10" t="s">
        <v>493</v>
      </c>
      <c r="E31" s="10" t="s">
        <v>729</v>
      </c>
      <c r="F31" s="10" t="s">
        <v>629</v>
      </c>
      <c r="G31" s="10" t="s">
        <v>630</v>
      </c>
      <c r="H31" s="10" t="s">
        <v>764</v>
      </c>
      <c r="I31" s="10" t="s">
        <v>899</v>
      </c>
      <c r="J31" s="10" t="s">
        <v>123</v>
      </c>
    </row>
    <row r="32" spans="1:10" ht="45" customHeight="1">
      <c r="A32" s="9" t="s">
        <v>998</v>
      </c>
      <c r="B32" s="9" t="s">
        <v>969</v>
      </c>
      <c r="C32" s="9" t="s">
        <v>960</v>
      </c>
      <c r="D32" s="9" t="s">
        <v>493</v>
      </c>
      <c r="E32" s="9" t="s">
        <v>704</v>
      </c>
      <c r="F32" s="9" t="s">
        <v>705</v>
      </c>
      <c r="G32" s="9" t="s">
        <v>565</v>
      </c>
      <c r="H32" s="9" t="s">
        <v>764</v>
      </c>
      <c r="I32" s="9" t="s">
        <v>899</v>
      </c>
      <c r="J32" s="9" t="s">
        <v>123</v>
      </c>
    </row>
    <row r="33" spans="1:10" ht="45" customHeight="1">
      <c r="A33" s="10" t="s">
        <v>999</v>
      </c>
      <c r="B33" s="10" t="s">
        <v>969</v>
      </c>
      <c r="C33" s="10" t="s">
        <v>962</v>
      </c>
      <c r="D33" s="10" t="s">
        <v>493</v>
      </c>
      <c r="E33" s="10" t="s">
        <v>730</v>
      </c>
      <c r="F33" s="10" t="s">
        <v>731</v>
      </c>
      <c r="G33" s="10" t="s">
        <v>630</v>
      </c>
      <c r="H33" s="10" t="s">
        <v>964</v>
      </c>
      <c r="I33" s="10" t="s">
        <v>899</v>
      </c>
      <c r="J33" s="10" t="s">
        <v>123</v>
      </c>
    </row>
    <row r="34" spans="1:10" ht="45" customHeight="1">
      <c r="A34" s="9" t="s">
        <v>1000</v>
      </c>
      <c r="B34" s="9" t="s">
        <v>969</v>
      </c>
      <c r="C34" s="9" t="s">
        <v>965</v>
      </c>
      <c r="D34" s="9"/>
      <c r="E34" s="9" t="s">
        <v>836</v>
      </c>
      <c r="F34" s="9"/>
      <c r="G34" s="9"/>
      <c r="H34" s="9" t="s">
        <v>904</v>
      </c>
      <c r="I34" s="9" t="s">
        <v>973</v>
      </c>
      <c r="J34" s="9" t="s">
        <v>906</v>
      </c>
    </row>
    <row r="35" spans="1:10" ht="45" customHeight="1">
      <c r="A35" s="10" t="s">
        <v>1001</v>
      </c>
      <c r="B35" s="10" t="s">
        <v>969</v>
      </c>
      <c r="C35" s="10" t="s">
        <v>1002</v>
      </c>
      <c r="D35" s="10"/>
      <c r="E35" s="10" t="s">
        <v>869</v>
      </c>
      <c r="F35" s="10"/>
      <c r="G35" s="10"/>
      <c r="H35" s="10" t="s">
        <v>904</v>
      </c>
      <c r="I35" s="10" t="s">
        <v>973</v>
      </c>
      <c r="J35" s="10" t="s">
        <v>906</v>
      </c>
    </row>
    <row r="36" spans="1:10" ht="45" customHeight="1">
      <c r="A36" s="9" t="s">
        <v>1003</v>
      </c>
      <c r="B36" s="9" t="s">
        <v>969</v>
      </c>
      <c r="C36" s="9" t="s">
        <v>1004</v>
      </c>
      <c r="D36" s="9"/>
      <c r="E36" s="9" t="s">
        <v>854</v>
      </c>
      <c r="F36" s="9"/>
      <c r="G36" s="9"/>
      <c r="H36" s="9" t="s">
        <v>904</v>
      </c>
      <c r="I36" s="9" t="s">
        <v>973</v>
      </c>
      <c r="J36" s="9" t="s">
        <v>906</v>
      </c>
    </row>
    <row r="37" spans="1:10" ht="45" customHeight="1">
      <c r="A37" s="10" t="s">
        <v>1005</v>
      </c>
      <c r="B37" s="10" t="s">
        <v>969</v>
      </c>
      <c r="C37" s="10" t="s">
        <v>1006</v>
      </c>
      <c r="D37" s="10"/>
      <c r="E37" s="10" t="s">
        <v>866</v>
      </c>
      <c r="F37" s="10"/>
      <c r="G37" s="10"/>
      <c r="H37" s="10" t="s">
        <v>904</v>
      </c>
      <c r="I37" s="10" t="s">
        <v>973</v>
      </c>
      <c r="J37" s="10" t="s">
        <v>906</v>
      </c>
    </row>
    <row r="38" spans="1:10" ht="45" customHeight="1">
      <c r="A38" s="9" t="s">
        <v>1007</v>
      </c>
      <c r="B38" s="9" t="s">
        <v>969</v>
      </c>
      <c r="C38" s="9" t="s">
        <v>1008</v>
      </c>
      <c r="D38" s="9"/>
      <c r="E38" s="9" t="s">
        <v>833</v>
      </c>
      <c r="F38" s="9"/>
      <c r="G38" s="9"/>
      <c r="H38" s="9" t="s">
        <v>904</v>
      </c>
      <c r="I38" s="9" t="s">
        <v>973</v>
      </c>
      <c r="J38" s="9" t="s">
        <v>906</v>
      </c>
    </row>
    <row r="39" spans="1:10" ht="45" customHeight="1">
      <c r="A39" s="10" t="s">
        <v>1009</v>
      </c>
      <c r="B39" s="10" t="s">
        <v>969</v>
      </c>
      <c r="C39" s="10" t="s">
        <v>1010</v>
      </c>
      <c r="D39" s="10"/>
      <c r="E39" s="10" t="s">
        <v>845</v>
      </c>
      <c r="F39" s="10"/>
      <c r="G39" s="10"/>
      <c r="H39" s="10" t="s">
        <v>904</v>
      </c>
      <c r="I39" s="10" t="s">
        <v>973</v>
      </c>
      <c r="J39" s="10" t="s">
        <v>906</v>
      </c>
    </row>
    <row r="40" spans="1:10" ht="45" customHeight="1">
      <c r="A40" s="9" t="s">
        <v>1011</v>
      </c>
      <c r="B40" s="9" t="s">
        <v>969</v>
      </c>
      <c r="C40" s="9" t="s">
        <v>1012</v>
      </c>
      <c r="D40" s="9"/>
      <c r="E40" s="9" t="s">
        <v>881</v>
      </c>
      <c r="F40" s="9"/>
      <c r="G40" s="9"/>
      <c r="H40" s="9" t="s">
        <v>904</v>
      </c>
      <c r="I40" s="9" t="s">
        <v>973</v>
      </c>
      <c r="J40" s="9" t="s">
        <v>906</v>
      </c>
    </row>
    <row r="41" spans="1:10" ht="45" customHeight="1">
      <c r="A41" s="10" t="s">
        <v>1013</v>
      </c>
      <c r="B41" s="10" t="s">
        <v>969</v>
      </c>
      <c r="C41" s="10" t="s">
        <v>1014</v>
      </c>
      <c r="D41" s="10"/>
      <c r="E41" s="10" t="s">
        <v>851</v>
      </c>
      <c r="F41" s="10"/>
      <c r="G41" s="10"/>
      <c r="H41" s="10" t="s">
        <v>904</v>
      </c>
      <c r="I41" s="10" t="s">
        <v>973</v>
      </c>
      <c r="J41" s="10" t="s">
        <v>906</v>
      </c>
    </row>
    <row r="42" spans="1:10" ht="45" customHeight="1">
      <c r="A42" s="9" t="s">
        <v>1015</v>
      </c>
      <c r="B42" s="9" t="s">
        <v>969</v>
      </c>
      <c r="C42" s="9" t="s">
        <v>1016</v>
      </c>
      <c r="D42" s="9"/>
      <c r="E42" s="9" t="s">
        <v>857</v>
      </c>
      <c r="F42" s="9"/>
      <c r="G42" s="9"/>
      <c r="H42" s="9" t="s">
        <v>904</v>
      </c>
      <c r="I42" s="9" t="s">
        <v>973</v>
      </c>
      <c r="J42" s="9" t="s">
        <v>906</v>
      </c>
    </row>
    <row r="43" spans="1:10" ht="45" customHeight="1">
      <c r="A43" s="10" t="s">
        <v>1017</v>
      </c>
      <c r="B43" s="10" t="s">
        <v>969</v>
      </c>
      <c r="C43" s="10" t="s">
        <v>1018</v>
      </c>
      <c r="D43" s="10"/>
      <c r="E43" s="10" t="s">
        <v>839</v>
      </c>
      <c r="F43" s="10"/>
      <c r="G43" s="10"/>
      <c r="H43" s="10" t="s">
        <v>904</v>
      </c>
      <c r="I43" s="10" t="s">
        <v>973</v>
      </c>
      <c r="J43" s="10" t="s">
        <v>906</v>
      </c>
    </row>
    <row r="44" spans="1:10" ht="45" customHeight="1">
      <c r="A44" s="9" t="s">
        <v>1019</v>
      </c>
      <c r="B44" s="9" t="s">
        <v>969</v>
      </c>
      <c r="C44" s="9" t="s">
        <v>1020</v>
      </c>
      <c r="D44" s="9"/>
      <c r="E44" s="9" t="s">
        <v>842</v>
      </c>
      <c r="F44" s="9"/>
      <c r="G44" s="9"/>
      <c r="H44" s="9" t="s">
        <v>904</v>
      </c>
      <c r="I44" s="9" t="s">
        <v>973</v>
      </c>
      <c r="J44" s="9" t="s">
        <v>906</v>
      </c>
    </row>
    <row r="45" spans="1:10" ht="45" customHeight="1">
      <c r="A45" s="10" t="s">
        <v>1021</v>
      </c>
      <c r="B45" s="10" t="s">
        <v>969</v>
      </c>
      <c r="C45" s="10" t="s">
        <v>1022</v>
      </c>
      <c r="D45" s="10"/>
      <c r="E45" s="10" t="s">
        <v>860</v>
      </c>
      <c r="F45" s="10"/>
      <c r="G45" s="10"/>
      <c r="H45" s="10" t="s">
        <v>904</v>
      </c>
      <c r="I45" s="10" t="s">
        <v>973</v>
      </c>
      <c r="J45" s="10" t="s">
        <v>906</v>
      </c>
    </row>
    <row r="46" spans="1:10" ht="45" customHeight="1">
      <c r="A46" s="9" t="s">
        <v>1023</v>
      </c>
      <c r="B46" s="9" t="s">
        <v>969</v>
      </c>
      <c r="C46" s="9" t="s">
        <v>1024</v>
      </c>
      <c r="D46" s="9"/>
      <c r="E46" s="9" t="s">
        <v>848</v>
      </c>
      <c r="F46" s="9"/>
      <c r="G46" s="9"/>
      <c r="H46" s="9" t="s">
        <v>904</v>
      </c>
      <c r="I46" s="9" t="s">
        <v>973</v>
      </c>
      <c r="J46" s="9" t="s">
        <v>906</v>
      </c>
    </row>
  </sheetData>
  <autoFilter ref="A3:J46" xr:uid="{00000000-0009-0000-0000-00000A000000}"/>
  <mergeCells count="1">
    <mergeCell ref="A1:J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2"/>
  <sheetViews>
    <sheetView showGridLines="0" workbookViewId="0">
      <pane ySplit="3" topLeftCell="A4" activePane="bottomLeft" state="frozen"/>
      <selection pane="bottomLeft"/>
    </sheetView>
  </sheetViews>
  <sheetFormatPr defaultRowHeight="15"/>
  <cols>
    <col min="1" max="1" width="23" customWidth="1"/>
    <col min="2" max="2" width="45" customWidth="1"/>
    <col min="3" max="3" width="12" customWidth="1"/>
    <col min="4" max="5" width="45" customWidth="1"/>
    <col min="6" max="6" width="12" customWidth="1"/>
    <col min="7" max="8" width="45" customWidth="1"/>
    <col min="9" max="9" width="18" customWidth="1"/>
    <col min="10" max="10" width="23" customWidth="1"/>
    <col min="11" max="11" width="13" customWidth="1"/>
    <col min="12" max="13" width="45" customWidth="1"/>
    <col min="14" max="14" width="44" customWidth="1"/>
  </cols>
  <sheetData>
    <row r="1" spans="1:14" ht="26.1" customHeight="1">
      <c r="A1" s="16" t="s">
        <v>1025</v>
      </c>
      <c r="B1" s="17"/>
      <c r="C1" s="17"/>
      <c r="D1" s="17"/>
      <c r="E1" s="17"/>
      <c r="F1" s="17"/>
      <c r="G1" s="17"/>
      <c r="H1" s="17"/>
      <c r="I1" s="17"/>
      <c r="J1" s="17"/>
      <c r="K1" s="17"/>
      <c r="L1" s="17"/>
    </row>
    <row r="3" spans="1:14">
      <c r="A3" s="2" t="s">
        <v>230</v>
      </c>
      <c r="B3" s="2" t="s">
        <v>62</v>
      </c>
      <c r="C3" s="2" t="s">
        <v>154</v>
      </c>
      <c r="D3" s="2" t="s">
        <v>151</v>
      </c>
      <c r="E3" s="2" t="s">
        <v>158</v>
      </c>
      <c r="F3" s="2" t="s">
        <v>160</v>
      </c>
      <c r="G3" s="2" t="s">
        <v>232</v>
      </c>
      <c r="H3" s="2" t="s">
        <v>234</v>
      </c>
      <c r="I3" s="2" t="s">
        <v>236</v>
      </c>
      <c r="J3" s="2" t="s">
        <v>238</v>
      </c>
      <c r="K3" s="2" t="s">
        <v>240</v>
      </c>
      <c r="L3" s="2" t="s">
        <v>242</v>
      </c>
      <c r="M3" s="2" t="s">
        <v>244</v>
      </c>
      <c r="N3" s="2" t="s">
        <v>246</v>
      </c>
    </row>
    <row r="4" spans="1:14" ht="45" customHeight="1">
      <c r="A4" s="9" t="s">
        <v>1026</v>
      </c>
      <c r="B4" s="9" t="s">
        <v>1027</v>
      </c>
      <c r="C4" s="9" t="s">
        <v>464</v>
      </c>
      <c r="D4" s="9" t="s">
        <v>463</v>
      </c>
      <c r="E4" s="9" t="s">
        <v>466</v>
      </c>
      <c r="F4" s="9" t="s">
        <v>467</v>
      </c>
      <c r="G4" s="9" t="s">
        <v>1028</v>
      </c>
      <c r="H4" s="9" t="s">
        <v>1029</v>
      </c>
      <c r="I4" s="9">
        <v>35</v>
      </c>
      <c r="J4" s="9">
        <v>20</v>
      </c>
      <c r="K4" s="9">
        <v>10</v>
      </c>
      <c r="L4" s="9" t="s">
        <v>1030</v>
      </c>
      <c r="M4" s="9" t="s">
        <v>1031</v>
      </c>
      <c r="N4" s="9" t="s">
        <v>1032</v>
      </c>
    </row>
    <row r="5" spans="1:14" ht="45" customHeight="1">
      <c r="A5" s="10" t="s">
        <v>1033</v>
      </c>
      <c r="B5" s="10" t="s">
        <v>1027</v>
      </c>
      <c r="C5" s="10" t="s">
        <v>464</v>
      </c>
      <c r="D5" s="10" t="s">
        <v>471</v>
      </c>
      <c r="E5" s="10" t="s">
        <v>473</v>
      </c>
      <c r="F5" s="10" t="s">
        <v>467</v>
      </c>
      <c r="G5" s="10" t="s">
        <v>1034</v>
      </c>
      <c r="H5" s="10" t="s">
        <v>1029</v>
      </c>
      <c r="I5" s="10">
        <v>35</v>
      </c>
      <c r="J5" s="10">
        <v>20</v>
      </c>
      <c r="K5" s="10">
        <v>10</v>
      </c>
      <c r="L5" s="10" t="s">
        <v>1030</v>
      </c>
      <c r="M5" s="10" t="s">
        <v>1031</v>
      </c>
      <c r="N5" s="10" t="s">
        <v>1032</v>
      </c>
    </row>
    <row r="6" spans="1:14" ht="45" customHeight="1">
      <c r="A6" s="9" t="s">
        <v>1035</v>
      </c>
      <c r="B6" s="9" t="s">
        <v>1027</v>
      </c>
      <c r="C6" s="9" t="s">
        <v>464</v>
      </c>
      <c r="D6" s="9" t="s">
        <v>475</v>
      </c>
      <c r="E6" s="9" t="s">
        <v>477</v>
      </c>
      <c r="F6" s="9" t="s">
        <v>478</v>
      </c>
      <c r="G6" s="9" t="s">
        <v>1036</v>
      </c>
      <c r="H6" s="9" t="s">
        <v>1029</v>
      </c>
      <c r="I6" s="9">
        <v>35</v>
      </c>
      <c r="J6" s="9">
        <v>20</v>
      </c>
      <c r="K6" s="9">
        <v>10</v>
      </c>
      <c r="L6" s="9" t="s">
        <v>1030</v>
      </c>
      <c r="M6" s="9" t="s">
        <v>1031</v>
      </c>
      <c r="N6" s="9" t="s">
        <v>1032</v>
      </c>
    </row>
    <row r="7" spans="1:14" ht="45" customHeight="1">
      <c r="A7" s="10" t="s">
        <v>1037</v>
      </c>
      <c r="B7" s="10" t="s">
        <v>1027</v>
      </c>
      <c r="C7" s="10" t="s">
        <v>482</v>
      </c>
      <c r="D7" s="10" t="s">
        <v>481</v>
      </c>
      <c r="E7" s="10" t="s">
        <v>484</v>
      </c>
      <c r="F7" s="10" t="s">
        <v>485</v>
      </c>
      <c r="G7" s="10" t="s">
        <v>1038</v>
      </c>
      <c r="H7" s="10" t="s">
        <v>1029</v>
      </c>
      <c r="I7" s="10">
        <v>45</v>
      </c>
      <c r="J7" s="10">
        <v>20</v>
      </c>
      <c r="K7" s="10">
        <v>10</v>
      </c>
      <c r="L7" s="10" t="s">
        <v>1030</v>
      </c>
      <c r="M7" s="10" t="s">
        <v>1031</v>
      </c>
      <c r="N7" s="10" t="s">
        <v>1032</v>
      </c>
    </row>
    <row r="8" spans="1:14" ht="45" customHeight="1">
      <c r="A8" s="9" t="s">
        <v>1039</v>
      </c>
      <c r="B8" s="9" t="s">
        <v>1027</v>
      </c>
      <c r="C8" s="9" t="s">
        <v>482</v>
      </c>
      <c r="D8" s="9" t="s">
        <v>487</v>
      </c>
      <c r="E8" s="9" t="s">
        <v>488</v>
      </c>
      <c r="F8" s="9" t="s">
        <v>489</v>
      </c>
      <c r="G8" s="9" t="s">
        <v>1040</v>
      </c>
      <c r="H8" s="9" t="s">
        <v>1029</v>
      </c>
      <c r="I8" s="9">
        <v>35</v>
      </c>
      <c r="J8" s="9">
        <v>20</v>
      </c>
      <c r="K8" s="9">
        <v>10</v>
      </c>
      <c r="L8" s="9" t="s">
        <v>1030</v>
      </c>
      <c r="M8" s="9" t="s">
        <v>1031</v>
      </c>
      <c r="N8" s="9" t="s">
        <v>1032</v>
      </c>
    </row>
    <row r="9" spans="1:14" ht="45" customHeight="1">
      <c r="A9" s="10" t="s">
        <v>1041</v>
      </c>
      <c r="B9" s="10" t="s">
        <v>1027</v>
      </c>
      <c r="C9" s="10" t="s">
        <v>482</v>
      </c>
      <c r="D9" s="10" t="s">
        <v>490</v>
      </c>
      <c r="E9" s="10" t="s">
        <v>491</v>
      </c>
      <c r="F9" s="10" t="s">
        <v>485</v>
      </c>
      <c r="G9" s="10" t="s">
        <v>1042</v>
      </c>
      <c r="H9" s="10" t="s">
        <v>1029</v>
      </c>
      <c r="I9" s="10">
        <v>45</v>
      </c>
      <c r="J9" s="10">
        <v>20</v>
      </c>
      <c r="K9" s="10">
        <v>10</v>
      </c>
      <c r="L9" s="10" t="s">
        <v>1030</v>
      </c>
      <c r="M9" s="10" t="s">
        <v>1031</v>
      </c>
      <c r="N9" s="10" t="s">
        <v>1032</v>
      </c>
    </row>
    <row r="10" spans="1:14" ht="45" customHeight="1">
      <c r="A10" s="9" t="s">
        <v>1043</v>
      </c>
      <c r="B10" s="9" t="s">
        <v>1027</v>
      </c>
      <c r="C10" s="9" t="s">
        <v>493</v>
      </c>
      <c r="D10" s="9" t="s">
        <v>492</v>
      </c>
      <c r="E10" s="9" t="s">
        <v>495</v>
      </c>
      <c r="F10" s="9" t="s">
        <v>485</v>
      </c>
      <c r="G10" s="9" t="s">
        <v>1044</v>
      </c>
      <c r="H10" s="9" t="s">
        <v>1029</v>
      </c>
      <c r="I10" s="9">
        <v>35</v>
      </c>
      <c r="J10" s="9">
        <v>20</v>
      </c>
      <c r="K10" s="9">
        <v>10</v>
      </c>
      <c r="L10" s="9" t="s">
        <v>1030</v>
      </c>
      <c r="M10" s="9" t="s">
        <v>1031</v>
      </c>
      <c r="N10" s="9" t="s">
        <v>1032</v>
      </c>
    </row>
    <row r="11" spans="1:14" ht="45" customHeight="1">
      <c r="A11" s="10" t="s">
        <v>1045</v>
      </c>
      <c r="B11" s="10" t="s">
        <v>1027</v>
      </c>
      <c r="C11" s="10" t="s">
        <v>493</v>
      </c>
      <c r="D11" s="10" t="s">
        <v>497</v>
      </c>
      <c r="E11" s="10" t="s">
        <v>498</v>
      </c>
      <c r="F11" s="10" t="s">
        <v>499</v>
      </c>
      <c r="G11" s="10" t="s">
        <v>1046</v>
      </c>
      <c r="H11" s="10" t="s">
        <v>1029</v>
      </c>
      <c r="I11" s="10">
        <v>35</v>
      </c>
      <c r="J11" s="10">
        <v>20</v>
      </c>
      <c r="K11" s="10">
        <v>10</v>
      </c>
      <c r="L11" s="10" t="s">
        <v>1030</v>
      </c>
      <c r="M11" s="10" t="s">
        <v>1031</v>
      </c>
      <c r="N11" s="10" t="s">
        <v>1032</v>
      </c>
    </row>
    <row r="12" spans="1:14" ht="45" customHeight="1">
      <c r="A12" s="9" t="s">
        <v>1047</v>
      </c>
      <c r="B12" s="9" t="s">
        <v>1027</v>
      </c>
      <c r="C12" s="9" t="s">
        <v>493</v>
      </c>
      <c r="D12" s="9" t="s">
        <v>500</v>
      </c>
      <c r="E12" s="9" t="s">
        <v>501</v>
      </c>
      <c r="F12" s="9" t="s">
        <v>489</v>
      </c>
      <c r="G12" s="9" t="s">
        <v>1048</v>
      </c>
      <c r="H12" s="9" t="s">
        <v>1029</v>
      </c>
      <c r="I12" s="9">
        <v>35</v>
      </c>
      <c r="J12" s="9">
        <v>20</v>
      </c>
      <c r="K12" s="9">
        <v>10</v>
      </c>
      <c r="L12" s="9" t="s">
        <v>1030</v>
      </c>
      <c r="M12" s="9" t="s">
        <v>1031</v>
      </c>
      <c r="N12" s="9" t="s">
        <v>1032</v>
      </c>
    </row>
  </sheetData>
  <autoFilter ref="A3:N12" xr:uid="{00000000-0009-0000-0000-00000B000000}"/>
  <mergeCells count="1">
    <mergeCell ref="A1:L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18"/>
  <sheetViews>
    <sheetView showGridLines="0" workbookViewId="0">
      <pane ySplit="3" topLeftCell="A4" activePane="bottomLeft" state="frozen"/>
      <selection pane="bottomLeft"/>
    </sheetView>
  </sheetViews>
  <sheetFormatPr defaultRowHeight="15"/>
  <cols>
    <col min="1" max="1" width="18" customWidth="1"/>
    <col min="2" max="2" width="14" customWidth="1"/>
    <col min="3" max="3" width="45" customWidth="1"/>
    <col min="4" max="4" width="12" customWidth="1"/>
    <col min="5" max="5" width="34" customWidth="1"/>
    <col min="6" max="6" width="30" customWidth="1"/>
    <col min="7" max="8" width="45" customWidth="1"/>
    <col min="9" max="9" width="26" customWidth="1"/>
    <col min="10" max="11" width="45" customWidth="1"/>
    <col min="12" max="12" width="28" customWidth="1"/>
    <col min="13" max="17" width="45" customWidth="1"/>
    <col min="18" max="18" width="16" customWidth="1"/>
    <col min="19" max="19" width="15" customWidth="1"/>
    <col min="20" max="20" width="12" customWidth="1"/>
    <col min="21" max="21" width="15" customWidth="1"/>
    <col min="22" max="22" width="20" customWidth="1"/>
    <col min="23" max="23" width="21" customWidth="1"/>
    <col min="24" max="24" width="23" customWidth="1"/>
    <col min="25" max="27" width="45" customWidth="1"/>
  </cols>
  <sheetData>
    <row r="1" spans="1:27" ht="26.1" customHeight="1">
      <c r="A1" s="16" t="s">
        <v>1049</v>
      </c>
      <c r="B1" s="17"/>
      <c r="C1" s="17"/>
      <c r="D1" s="17"/>
      <c r="E1" s="17"/>
      <c r="F1" s="17"/>
      <c r="G1" s="17"/>
      <c r="H1" s="17"/>
      <c r="I1" s="17"/>
      <c r="J1" s="17"/>
      <c r="K1" s="17"/>
      <c r="L1" s="17"/>
    </row>
    <row r="3" spans="1:27">
      <c r="A3" s="2" t="s">
        <v>248</v>
      </c>
      <c r="B3" s="2" t="s">
        <v>230</v>
      </c>
      <c r="C3" s="2" t="s">
        <v>62</v>
      </c>
      <c r="D3" s="2" t="s">
        <v>154</v>
      </c>
      <c r="E3" s="2" t="s">
        <v>151</v>
      </c>
      <c r="F3" s="2" t="s">
        <v>158</v>
      </c>
      <c r="G3" s="2" t="s">
        <v>184</v>
      </c>
      <c r="H3" s="2" t="s">
        <v>186</v>
      </c>
      <c r="I3" s="2" t="s">
        <v>212</v>
      </c>
      <c r="J3" s="2" t="s">
        <v>250</v>
      </c>
      <c r="K3" s="2" t="s">
        <v>252</v>
      </c>
      <c r="L3" s="2" t="s">
        <v>254</v>
      </c>
      <c r="M3" s="2" t="s">
        <v>256</v>
      </c>
      <c r="N3" s="2" t="s">
        <v>258</v>
      </c>
      <c r="O3" s="2" t="s">
        <v>260</v>
      </c>
      <c r="P3" s="2" t="s">
        <v>262</v>
      </c>
      <c r="Q3" s="2" t="s">
        <v>264</v>
      </c>
      <c r="R3" s="2" t="s">
        <v>266</v>
      </c>
      <c r="S3" s="2" t="s">
        <v>268</v>
      </c>
      <c r="T3" s="2" t="s">
        <v>270</v>
      </c>
      <c r="U3" s="2" t="s">
        <v>272</v>
      </c>
      <c r="V3" s="2" t="s">
        <v>274</v>
      </c>
      <c r="W3" s="2" t="s">
        <v>276</v>
      </c>
      <c r="X3" s="2" t="s">
        <v>278</v>
      </c>
      <c r="Y3" s="2" t="s">
        <v>280</v>
      </c>
      <c r="Z3" s="2" t="s">
        <v>282</v>
      </c>
      <c r="AA3" s="2" t="s">
        <v>284</v>
      </c>
    </row>
    <row r="4" spans="1:27" ht="45" customHeight="1">
      <c r="A4" s="4" t="s">
        <v>1050</v>
      </c>
      <c r="B4" s="4" t="s">
        <v>1037</v>
      </c>
      <c r="C4" s="4" t="s">
        <v>1051</v>
      </c>
      <c r="D4" s="4" t="s">
        <v>482</v>
      </c>
      <c r="E4" s="4" t="s">
        <v>481</v>
      </c>
      <c r="F4" s="4" t="s">
        <v>484</v>
      </c>
      <c r="G4" s="4" t="s">
        <v>636</v>
      </c>
      <c r="H4" s="4" t="s">
        <v>637</v>
      </c>
      <c r="I4" s="4">
        <v>3</v>
      </c>
      <c r="J4" s="4" t="s">
        <v>1052</v>
      </c>
      <c r="K4" s="4" t="s">
        <v>1053</v>
      </c>
      <c r="L4" s="4" t="s">
        <v>1054</v>
      </c>
      <c r="M4" s="4" t="s">
        <v>1055</v>
      </c>
      <c r="N4" s="4" t="s">
        <v>1056</v>
      </c>
      <c r="O4" s="4"/>
      <c r="P4" s="4"/>
      <c r="Q4" s="4"/>
      <c r="R4" s="4"/>
      <c r="S4" s="4" t="s">
        <v>1057</v>
      </c>
      <c r="T4" s="4" t="s">
        <v>1058</v>
      </c>
      <c r="U4" s="4"/>
      <c r="V4" s="4" t="s">
        <v>1059</v>
      </c>
      <c r="W4" s="4" t="s">
        <v>1057</v>
      </c>
      <c r="X4" s="11" t="str">
        <f>IF(V4="Approved","Yes","No")</f>
        <v>Yes</v>
      </c>
      <c r="Y4" s="4" t="s">
        <v>1060</v>
      </c>
      <c r="Z4" s="4" t="s">
        <v>1061</v>
      </c>
      <c r="AA4" s="4" t="s">
        <v>1062</v>
      </c>
    </row>
    <row r="5" spans="1:27" ht="45" customHeight="1">
      <c r="A5" s="6" t="s">
        <v>1063</v>
      </c>
      <c r="B5" s="6" t="s">
        <v>1041</v>
      </c>
      <c r="C5" s="6" t="s">
        <v>1051</v>
      </c>
      <c r="D5" s="6" t="s">
        <v>482</v>
      </c>
      <c r="E5" s="6" t="s">
        <v>490</v>
      </c>
      <c r="F5" s="6" t="s">
        <v>491</v>
      </c>
      <c r="G5" s="6" t="s">
        <v>636</v>
      </c>
      <c r="H5" s="6" t="s">
        <v>637</v>
      </c>
      <c r="I5" s="6">
        <v>3</v>
      </c>
      <c r="J5" s="6" t="s">
        <v>1052</v>
      </c>
      <c r="K5" s="6" t="s">
        <v>1053</v>
      </c>
      <c r="L5" s="6" t="s">
        <v>1054</v>
      </c>
      <c r="M5" s="6" t="s">
        <v>1055</v>
      </c>
      <c r="N5" s="6" t="s">
        <v>1056</v>
      </c>
      <c r="O5" s="6"/>
      <c r="P5" s="6"/>
      <c r="Q5" s="6"/>
      <c r="R5" s="6"/>
      <c r="S5" s="6" t="s">
        <v>1057</v>
      </c>
      <c r="T5" s="6" t="s">
        <v>1058</v>
      </c>
      <c r="U5" s="6"/>
      <c r="V5" s="6" t="s">
        <v>1059</v>
      </c>
      <c r="W5" s="6" t="s">
        <v>1057</v>
      </c>
      <c r="X5" s="12" t="str">
        <f>IF(V5="Approved","Yes","No")</f>
        <v>Yes</v>
      </c>
      <c r="Y5" s="6" t="s">
        <v>1060</v>
      </c>
      <c r="Z5" s="6" t="s">
        <v>1061</v>
      </c>
      <c r="AA5" s="6" t="s">
        <v>1062</v>
      </c>
    </row>
    <row r="6" spans="1:27" ht="45" customHeight="1">
      <c r="A6" s="4" t="s">
        <v>1064</v>
      </c>
      <c r="B6" s="4" t="s">
        <v>1037</v>
      </c>
      <c r="C6" s="4" t="s">
        <v>1051</v>
      </c>
      <c r="D6" s="4" t="s">
        <v>482</v>
      </c>
      <c r="E6" s="4" t="s">
        <v>481</v>
      </c>
      <c r="F6" s="4" t="s">
        <v>484</v>
      </c>
      <c r="G6" s="4" t="s">
        <v>563</v>
      </c>
      <c r="H6" s="4" t="s">
        <v>564</v>
      </c>
      <c r="I6" s="4">
        <v>3</v>
      </c>
      <c r="J6" s="4" t="s">
        <v>1052</v>
      </c>
      <c r="K6" s="4" t="s">
        <v>1065</v>
      </c>
      <c r="L6" s="4" t="s">
        <v>1054</v>
      </c>
      <c r="M6" s="4" t="s">
        <v>1066</v>
      </c>
      <c r="N6" s="4" t="s">
        <v>1067</v>
      </c>
      <c r="O6" s="4"/>
      <c r="P6" s="4"/>
      <c r="Q6" s="4"/>
      <c r="R6" s="4"/>
      <c r="S6" s="4" t="s">
        <v>1057</v>
      </c>
      <c r="T6" s="4" t="s">
        <v>1058</v>
      </c>
      <c r="U6" s="4"/>
      <c r="V6" s="4" t="s">
        <v>1059</v>
      </c>
      <c r="W6" s="4" t="s">
        <v>1057</v>
      </c>
      <c r="X6" s="11" t="str">
        <f>IF(V6="Approved","Yes","No")</f>
        <v>Yes</v>
      </c>
      <c r="Y6" s="4" t="s">
        <v>1060</v>
      </c>
      <c r="Z6" s="4" t="s">
        <v>1061</v>
      </c>
      <c r="AA6" s="4" t="s">
        <v>1062</v>
      </c>
    </row>
    <row r="7" spans="1:27" ht="45" customHeight="1">
      <c r="A7" s="6" t="s">
        <v>1068</v>
      </c>
      <c r="B7" s="6" t="s">
        <v>1041</v>
      </c>
      <c r="C7" s="6" t="s">
        <v>1051</v>
      </c>
      <c r="D7" s="6" t="s">
        <v>482</v>
      </c>
      <c r="E7" s="6" t="s">
        <v>490</v>
      </c>
      <c r="F7" s="6" t="s">
        <v>491</v>
      </c>
      <c r="G7" s="6" t="s">
        <v>643</v>
      </c>
      <c r="H7" s="6" t="s">
        <v>644</v>
      </c>
      <c r="I7" s="6">
        <v>3</v>
      </c>
      <c r="J7" s="6" t="s">
        <v>1052</v>
      </c>
      <c r="K7" s="6" t="s">
        <v>1065</v>
      </c>
      <c r="L7" s="6" t="s">
        <v>1054</v>
      </c>
      <c r="M7" s="6" t="s">
        <v>1066</v>
      </c>
      <c r="N7" s="6" t="s">
        <v>1067</v>
      </c>
      <c r="O7" s="6"/>
      <c r="P7" s="6"/>
      <c r="Q7" s="6"/>
      <c r="R7" s="6"/>
      <c r="S7" s="6" t="s">
        <v>1057</v>
      </c>
      <c r="T7" s="6" t="s">
        <v>1058</v>
      </c>
      <c r="U7" s="6"/>
      <c r="V7" s="6" t="s">
        <v>1059</v>
      </c>
      <c r="W7" s="6" t="s">
        <v>1057</v>
      </c>
      <c r="X7" s="12" t="str">
        <f>IF(V7="Approved","Yes","No")</f>
        <v>Yes</v>
      </c>
      <c r="Y7" s="6" t="s">
        <v>1060</v>
      </c>
      <c r="Z7" s="6" t="s">
        <v>1061</v>
      </c>
      <c r="AA7" s="6" t="s">
        <v>1062</v>
      </c>
    </row>
    <row r="8" spans="1:27" ht="45" customHeight="1">
      <c r="A8" s="4" t="s">
        <v>1069</v>
      </c>
      <c r="B8" s="4" t="s">
        <v>1037</v>
      </c>
      <c r="C8" s="4" t="s">
        <v>1051</v>
      </c>
      <c r="D8" s="4" t="s">
        <v>482</v>
      </c>
      <c r="E8" s="4" t="s">
        <v>481</v>
      </c>
      <c r="F8" s="4" t="s">
        <v>484</v>
      </c>
      <c r="G8" s="4" t="s">
        <v>563</v>
      </c>
      <c r="H8" s="4" t="s">
        <v>564</v>
      </c>
      <c r="I8" s="4">
        <v>3</v>
      </c>
      <c r="J8" s="4" t="s">
        <v>1052</v>
      </c>
      <c r="K8" s="4" t="s">
        <v>1070</v>
      </c>
      <c r="L8" s="4" t="s">
        <v>1054</v>
      </c>
      <c r="M8" s="4" t="s">
        <v>1071</v>
      </c>
      <c r="N8" s="4" t="s">
        <v>1072</v>
      </c>
      <c r="O8" s="4"/>
      <c r="P8" s="4"/>
      <c r="Q8" s="4"/>
      <c r="R8" s="4"/>
      <c r="S8" s="4" t="s">
        <v>1057</v>
      </c>
      <c r="T8" s="4" t="s">
        <v>1058</v>
      </c>
      <c r="U8" s="4"/>
      <c r="V8" s="4" t="s">
        <v>1059</v>
      </c>
      <c r="W8" s="4" t="s">
        <v>1057</v>
      </c>
      <c r="X8" s="11" t="str">
        <f>IF(V8="Approved","Yes","No")</f>
        <v>Yes</v>
      </c>
      <c r="Y8" s="4" t="s">
        <v>1060</v>
      </c>
      <c r="Z8" s="4" t="s">
        <v>1061</v>
      </c>
      <c r="AA8" s="4" t="s">
        <v>1062</v>
      </c>
    </row>
    <row r="9" spans="1:27" ht="45" customHeight="1">
      <c r="A9" s="6" t="s">
        <v>1073</v>
      </c>
      <c r="B9" s="6" t="s">
        <v>1041</v>
      </c>
      <c r="C9" s="6" t="s">
        <v>1051</v>
      </c>
      <c r="D9" s="6" t="s">
        <v>482</v>
      </c>
      <c r="E9" s="6" t="s">
        <v>490</v>
      </c>
      <c r="F9" s="6" t="s">
        <v>491</v>
      </c>
      <c r="G9" s="6" t="s">
        <v>563</v>
      </c>
      <c r="H9" s="6" t="s">
        <v>564</v>
      </c>
      <c r="I9" s="6">
        <v>3</v>
      </c>
      <c r="J9" s="6" t="s">
        <v>1052</v>
      </c>
      <c r="K9" s="6" t="s">
        <v>1070</v>
      </c>
      <c r="L9" s="6" t="s">
        <v>1054</v>
      </c>
      <c r="M9" s="6" t="s">
        <v>1071</v>
      </c>
      <c r="N9" s="6" t="s">
        <v>1072</v>
      </c>
      <c r="O9" s="6"/>
      <c r="P9" s="6"/>
      <c r="Q9" s="6"/>
      <c r="R9" s="6"/>
      <c r="S9" s="6" t="s">
        <v>1057</v>
      </c>
      <c r="T9" s="6" t="s">
        <v>1058</v>
      </c>
      <c r="U9" s="6"/>
      <c r="V9" s="6" t="s">
        <v>1059</v>
      </c>
      <c r="W9" s="6" t="s">
        <v>1057</v>
      </c>
      <c r="X9" s="12" t="str">
        <f>IF(V9="Approved","Yes","No")</f>
        <v>Yes</v>
      </c>
      <c r="Y9" s="6" t="s">
        <v>1060</v>
      </c>
      <c r="Z9" s="6" t="s">
        <v>1061</v>
      </c>
      <c r="AA9" s="6" t="s">
        <v>1062</v>
      </c>
    </row>
    <row r="10" spans="1:27" ht="45" customHeight="1">
      <c r="A10" s="4" t="s">
        <v>1074</v>
      </c>
      <c r="B10" s="4" t="s">
        <v>1037</v>
      </c>
      <c r="C10" s="4" t="s">
        <v>1051</v>
      </c>
      <c r="D10" s="4" t="s">
        <v>482</v>
      </c>
      <c r="E10" s="4" t="s">
        <v>481</v>
      </c>
      <c r="F10" s="4" t="s">
        <v>484</v>
      </c>
      <c r="G10" s="4" t="s">
        <v>621</v>
      </c>
      <c r="H10" s="4" t="s">
        <v>622</v>
      </c>
      <c r="I10" s="4">
        <v>3</v>
      </c>
      <c r="J10" s="4" t="s">
        <v>1052</v>
      </c>
      <c r="K10" s="4" t="s">
        <v>1075</v>
      </c>
      <c r="L10" s="4" t="s">
        <v>1054</v>
      </c>
      <c r="M10" s="4" t="s">
        <v>1076</v>
      </c>
      <c r="N10" s="4" t="s">
        <v>1077</v>
      </c>
      <c r="O10" s="4"/>
      <c r="P10" s="4"/>
      <c r="Q10" s="4"/>
      <c r="R10" s="4"/>
      <c r="S10" s="4" t="s">
        <v>1057</v>
      </c>
      <c r="T10" s="4" t="s">
        <v>1058</v>
      </c>
      <c r="U10" s="4"/>
      <c r="V10" s="4" t="s">
        <v>1059</v>
      </c>
      <c r="W10" s="4" t="s">
        <v>1057</v>
      </c>
      <c r="X10" s="11" t="str">
        <f>IF(V10="Approved","Yes","No")</f>
        <v>Yes</v>
      </c>
      <c r="Y10" s="4" t="s">
        <v>1060</v>
      </c>
      <c r="Z10" s="4" t="s">
        <v>1061</v>
      </c>
      <c r="AA10" s="4" t="s">
        <v>1062</v>
      </c>
    </row>
    <row r="11" spans="1:27" ht="45" customHeight="1">
      <c r="A11" s="6" t="s">
        <v>1078</v>
      </c>
      <c r="B11" s="6" t="s">
        <v>1041</v>
      </c>
      <c r="C11" s="6" t="s">
        <v>1051</v>
      </c>
      <c r="D11" s="6" t="s">
        <v>482</v>
      </c>
      <c r="E11" s="6" t="s">
        <v>490</v>
      </c>
      <c r="F11" s="6" t="s">
        <v>491</v>
      </c>
      <c r="G11" s="6" t="s">
        <v>621</v>
      </c>
      <c r="H11" s="6" t="s">
        <v>622</v>
      </c>
      <c r="I11" s="6">
        <v>3</v>
      </c>
      <c r="J11" s="6" t="s">
        <v>1052</v>
      </c>
      <c r="K11" s="6" t="s">
        <v>1075</v>
      </c>
      <c r="L11" s="6" t="s">
        <v>1054</v>
      </c>
      <c r="M11" s="6" t="s">
        <v>1076</v>
      </c>
      <c r="N11" s="6" t="s">
        <v>1077</v>
      </c>
      <c r="O11" s="6"/>
      <c r="P11" s="6"/>
      <c r="Q11" s="6"/>
      <c r="R11" s="6"/>
      <c r="S11" s="6" t="s">
        <v>1057</v>
      </c>
      <c r="T11" s="6" t="s">
        <v>1058</v>
      </c>
      <c r="U11" s="6"/>
      <c r="V11" s="6" t="s">
        <v>1059</v>
      </c>
      <c r="W11" s="6" t="s">
        <v>1057</v>
      </c>
      <c r="X11" s="12" t="str">
        <f>IF(V11="Approved","Yes","No")</f>
        <v>Yes</v>
      </c>
      <c r="Y11" s="6" t="s">
        <v>1060</v>
      </c>
      <c r="Z11" s="6" t="s">
        <v>1061</v>
      </c>
      <c r="AA11" s="6" t="s">
        <v>1062</v>
      </c>
    </row>
    <row r="12" spans="1:27" ht="45" customHeight="1">
      <c r="A12" s="4" t="s">
        <v>1079</v>
      </c>
      <c r="B12" s="4" t="s">
        <v>1037</v>
      </c>
      <c r="C12" s="4" t="s">
        <v>1051</v>
      </c>
      <c r="D12" s="4" t="s">
        <v>482</v>
      </c>
      <c r="E12" s="4" t="s">
        <v>481</v>
      </c>
      <c r="F12" s="4" t="s">
        <v>484</v>
      </c>
      <c r="G12" s="4" t="s">
        <v>586</v>
      </c>
      <c r="H12" s="4" t="s">
        <v>587</v>
      </c>
      <c r="I12" s="4">
        <v>3</v>
      </c>
      <c r="J12" s="4" t="s">
        <v>1052</v>
      </c>
      <c r="K12" s="4" t="s">
        <v>1080</v>
      </c>
      <c r="L12" s="4" t="s">
        <v>1054</v>
      </c>
      <c r="M12" s="4" t="s">
        <v>1081</v>
      </c>
      <c r="N12" s="4" t="s">
        <v>1077</v>
      </c>
      <c r="O12" s="4"/>
      <c r="P12" s="4"/>
      <c r="Q12" s="4"/>
      <c r="R12" s="4"/>
      <c r="S12" s="4" t="s">
        <v>1057</v>
      </c>
      <c r="T12" s="4" t="s">
        <v>1058</v>
      </c>
      <c r="U12" s="4"/>
      <c r="V12" s="4" t="s">
        <v>1059</v>
      </c>
      <c r="W12" s="4" t="s">
        <v>1057</v>
      </c>
      <c r="X12" s="11" t="str">
        <f>IF(V12="Approved","Yes","No")</f>
        <v>Yes</v>
      </c>
      <c r="Y12" s="4" t="s">
        <v>1060</v>
      </c>
      <c r="Z12" s="4" t="s">
        <v>1061</v>
      </c>
      <c r="AA12" s="4" t="s">
        <v>1062</v>
      </c>
    </row>
    <row r="13" spans="1:27" ht="45" customHeight="1">
      <c r="A13" s="6" t="s">
        <v>1082</v>
      </c>
      <c r="B13" s="6" t="s">
        <v>1041</v>
      </c>
      <c r="C13" s="6" t="s">
        <v>1051</v>
      </c>
      <c r="D13" s="6" t="s">
        <v>482</v>
      </c>
      <c r="E13" s="6" t="s">
        <v>490</v>
      </c>
      <c r="F13" s="6" t="s">
        <v>491</v>
      </c>
      <c r="G13" s="6" t="s">
        <v>563</v>
      </c>
      <c r="H13" s="6" t="s">
        <v>564</v>
      </c>
      <c r="I13" s="6">
        <v>3</v>
      </c>
      <c r="J13" s="6" t="s">
        <v>1052</v>
      </c>
      <c r="K13" s="6" t="s">
        <v>1080</v>
      </c>
      <c r="L13" s="6" t="s">
        <v>1054</v>
      </c>
      <c r="M13" s="6" t="s">
        <v>1081</v>
      </c>
      <c r="N13" s="6" t="s">
        <v>1077</v>
      </c>
      <c r="O13" s="6"/>
      <c r="P13" s="6"/>
      <c r="Q13" s="6"/>
      <c r="R13" s="6"/>
      <c r="S13" s="6" t="s">
        <v>1057</v>
      </c>
      <c r="T13" s="6" t="s">
        <v>1058</v>
      </c>
      <c r="U13" s="6"/>
      <c r="V13" s="6" t="s">
        <v>1059</v>
      </c>
      <c r="W13" s="6" t="s">
        <v>1057</v>
      </c>
      <c r="X13" s="12" t="str">
        <f>IF(V13="Approved","Yes","No")</f>
        <v>Yes</v>
      </c>
      <c r="Y13" s="6" t="s">
        <v>1060</v>
      </c>
      <c r="Z13" s="6" t="s">
        <v>1061</v>
      </c>
      <c r="AA13" s="6" t="s">
        <v>1062</v>
      </c>
    </row>
    <row r="14" spans="1:27" ht="45" customHeight="1">
      <c r="A14" s="4" t="s">
        <v>1083</v>
      </c>
      <c r="B14" s="4" t="s">
        <v>1037</v>
      </c>
      <c r="C14" s="4" t="s">
        <v>1051</v>
      </c>
      <c r="D14" s="4" t="s">
        <v>482</v>
      </c>
      <c r="E14" s="4" t="s">
        <v>481</v>
      </c>
      <c r="F14" s="4" t="s">
        <v>484</v>
      </c>
      <c r="G14" s="4" t="s">
        <v>607</v>
      </c>
      <c r="H14" s="4" t="s">
        <v>608</v>
      </c>
      <c r="I14" s="4">
        <v>3</v>
      </c>
      <c r="J14" s="4" t="s">
        <v>1052</v>
      </c>
      <c r="K14" s="4" t="s">
        <v>1084</v>
      </c>
      <c r="L14" s="4" t="s">
        <v>1054</v>
      </c>
      <c r="M14" s="4" t="s">
        <v>1085</v>
      </c>
      <c r="N14" s="4" t="s">
        <v>1086</v>
      </c>
      <c r="O14" s="4"/>
      <c r="P14" s="4"/>
      <c r="Q14" s="4"/>
      <c r="R14" s="4"/>
      <c r="S14" s="4" t="s">
        <v>1057</v>
      </c>
      <c r="T14" s="4" t="s">
        <v>1058</v>
      </c>
      <c r="U14" s="4"/>
      <c r="V14" s="4" t="s">
        <v>1059</v>
      </c>
      <c r="W14" s="4" t="s">
        <v>1057</v>
      </c>
      <c r="X14" s="11" t="str">
        <f>IF(V14="Approved","Yes","No")</f>
        <v>Yes</v>
      </c>
      <c r="Y14" s="4" t="s">
        <v>1060</v>
      </c>
      <c r="Z14" s="4" t="s">
        <v>1061</v>
      </c>
      <c r="AA14" s="4" t="s">
        <v>1062</v>
      </c>
    </row>
    <row r="15" spans="1:27" ht="45" customHeight="1">
      <c r="A15" s="6" t="s">
        <v>1087</v>
      </c>
      <c r="B15" s="6" t="s">
        <v>1041</v>
      </c>
      <c r="C15" s="6" t="s">
        <v>1051</v>
      </c>
      <c r="D15" s="6" t="s">
        <v>482</v>
      </c>
      <c r="E15" s="6" t="s">
        <v>490</v>
      </c>
      <c r="F15" s="6" t="s">
        <v>491</v>
      </c>
      <c r="G15" s="6" t="s">
        <v>563</v>
      </c>
      <c r="H15" s="6" t="s">
        <v>564</v>
      </c>
      <c r="I15" s="6">
        <v>3</v>
      </c>
      <c r="J15" s="6" t="s">
        <v>1052</v>
      </c>
      <c r="K15" s="6" t="s">
        <v>1084</v>
      </c>
      <c r="L15" s="6" t="s">
        <v>1054</v>
      </c>
      <c r="M15" s="6" t="s">
        <v>1085</v>
      </c>
      <c r="N15" s="6" t="s">
        <v>1086</v>
      </c>
      <c r="O15" s="6"/>
      <c r="P15" s="6"/>
      <c r="Q15" s="6"/>
      <c r="R15" s="6"/>
      <c r="S15" s="6" t="s">
        <v>1057</v>
      </c>
      <c r="T15" s="6" t="s">
        <v>1058</v>
      </c>
      <c r="U15" s="6"/>
      <c r="V15" s="6" t="s">
        <v>1059</v>
      </c>
      <c r="W15" s="6" t="s">
        <v>1057</v>
      </c>
      <c r="X15" s="12" t="str">
        <f>IF(V15="Approved","Yes","No")</f>
        <v>Yes</v>
      </c>
      <c r="Y15" s="6" t="s">
        <v>1060</v>
      </c>
      <c r="Z15" s="6" t="s">
        <v>1061</v>
      </c>
      <c r="AA15" s="6" t="s">
        <v>1062</v>
      </c>
    </row>
    <row r="16" spans="1:27" ht="45" customHeight="1">
      <c r="A16" s="4" t="s">
        <v>1088</v>
      </c>
      <c r="B16" s="4" t="s">
        <v>1037</v>
      </c>
      <c r="C16" s="4" t="s">
        <v>1051</v>
      </c>
      <c r="D16" s="4" t="s">
        <v>482</v>
      </c>
      <c r="E16" s="4" t="s">
        <v>481</v>
      </c>
      <c r="F16" s="4" t="s">
        <v>484</v>
      </c>
      <c r="G16" s="4" t="s">
        <v>563</v>
      </c>
      <c r="H16" s="4" t="s">
        <v>564</v>
      </c>
      <c r="I16" s="4">
        <v>3</v>
      </c>
      <c r="J16" s="4" t="s">
        <v>1052</v>
      </c>
      <c r="K16" s="4" t="s">
        <v>1089</v>
      </c>
      <c r="L16" s="4" t="s">
        <v>1054</v>
      </c>
      <c r="M16" s="4" t="s">
        <v>1090</v>
      </c>
      <c r="N16" s="4" t="s">
        <v>1077</v>
      </c>
      <c r="O16" s="4"/>
      <c r="P16" s="4"/>
      <c r="Q16" s="4"/>
      <c r="R16" s="4"/>
      <c r="S16" s="4" t="s">
        <v>1057</v>
      </c>
      <c r="T16" s="4" t="s">
        <v>1058</v>
      </c>
      <c r="U16" s="4"/>
      <c r="V16" s="4" t="s">
        <v>1059</v>
      </c>
      <c r="W16" s="4" t="s">
        <v>1057</v>
      </c>
      <c r="X16" s="11" t="str">
        <f>IF(V16="Approved","Yes","No")</f>
        <v>Yes</v>
      </c>
      <c r="Y16" s="4" t="s">
        <v>1060</v>
      </c>
      <c r="Z16" s="4" t="s">
        <v>1061</v>
      </c>
      <c r="AA16" s="4" t="s">
        <v>1062</v>
      </c>
    </row>
    <row r="17" spans="1:27" ht="45" customHeight="1">
      <c r="A17" s="6" t="s">
        <v>1091</v>
      </c>
      <c r="B17" s="6" t="s">
        <v>1041</v>
      </c>
      <c r="C17" s="6" t="s">
        <v>1051</v>
      </c>
      <c r="D17" s="6" t="s">
        <v>482</v>
      </c>
      <c r="E17" s="6" t="s">
        <v>490</v>
      </c>
      <c r="F17" s="6" t="s">
        <v>491</v>
      </c>
      <c r="G17" s="6" t="s">
        <v>563</v>
      </c>
      <c r="H17" s="6" t="s">
        <v>564</v>
      </c>
      <c r="I17" s="6">
        <v>3</v>
      </c>
      <c r="J17" s="6" t="s">
        <v>1052</v>
      </c>
      <c r="K17" s="6" t="s">
        <v>1089</v>
      </c>
      <c r="L17" s="6" t="s">
        <v>1054</v>
      </c>
      <c r="M17" s="6" t="s">
        <v>1090</v>
      </c>
      <c r="N17" s="6" t="s">
        <v>1077</v>
      </c>
      <c r="O17" s="6"/>
      <c r="P17" s="6"/>
      <c r="Q17" s="6"/>
      <c r="R17" s="6"/>
      <c r="S17" s="6" t="s">
        <v>1057</v>
      </c>
      <c r="T17" s="6" t="s">
        <v>1058</v>
      </c>
      <c r="U17" s="6"/>
      <c r="V17" s="6" t="s">
        <v>1059</v>
      </c>
      <c r="W17" s="6" t="s">
        <v>1057</v>
      </c>
      <c r="X17" s="12" t="str">
        <f>IF(V17="Approved","Yes","No")</f>
        <v>Yes</v>
      </c>
      <c r="Y17" s="6" t="s">
        <v>1060</v>
      </c>
      <c r="Z17" s="6" t="s">
        <v>1061</v>
      </c>
      <c r="AA17" s="6" t="s">
        <v>1062</v>
      </c>
    </row>
    <row r="18" spans="1:27" ht="45" customHeight="1">
      <c r="A18" s="4" t="s">
        <v>1092</v>
      </c>
      <c r="B18" s="4" t="s">
        <v>1037</v>
      </c>
      <c r="C18" s="4" t="s">
        <v>1051</v>
      </c>
      <c r="D18" s="4" t="s">
        <v>482</v>
      </c>
      <c r="E18" s="4" t="s">
        <v>481</v>
      </c>
      <c r="F18" s="4" t="s">
        <v>484</v>
      </c>
      <c r="G18" s="4" t="s">
        <v>563</v>
      </c>
      <c r="H18" s="4" t="s">
        <v>564</v>
      </c>
      <c r="I18" s="4">
        <v>3</v>
      </c>
      <c r="J18" s="4" t="s">
        <v>1052</v>
      </c>
      <c r="K18" s="4" t="s">
        <v>1093</v>
      </c>
      <c r="L18" s="4" t="s">
        <v>1054</v>
      </c>
      <c r="M18" s="4" t="s">
        <v>1094</v>
      </c>
      <c r="N18" s="4" t="s">
        <v>1077</v>
      </c>
      <c r="O18" s="4"/>
      <c r="P18" s="4"/>
      <c r="Q18" s="4"/>
      <c r="R18" s="4"/>
      <c r="S18" s="4" t="s">
        <v>1057</v>
      </c>
      <c r="T18" s="4" t="s">
        <v>1058</v>
      </c>
      <c r="U18" s="4"/>
      <c r="V18" s="4" t="s">
        <v>1059</v>
      </c>
      <c r="W18" s="4" t="s">
        <v>1057</v>
      </c>
      <c r="X18" s="11" t="str">
        <f>IF(V18="Approved","Yes","No")</f>
        <v>Yes</v>
      </c>
      <c r="Y18" s="4" t="s">
        <v>1060</v>
      </c>
      <c r="Z18" s="4" t="s">
        <v>1061</v>
      </c>
      <c r="AA18" s="4" t="s">
        <v>1062</v>
      </c>
    </row>
    <row r="19" spans="1:27" ht="45" customHeight="1">
      <c r="A19" s="6" t="s">
        <v>1095</v>
      </c>
      <c r="B19" s="6" t="s">
        <v>1041</v>
      </c>
      <c r="C19" s="6" t="s">
        <v>1051</v>
      </c>
      <c r="D19" s="6" t="s">
        <v>482</v>
      </c>
      <c r="E19" s="6" t="s">
        <v>490</v>
      </c>
      <c r="F19" s="6" t="s">
        <v>491</v>
      </c>
      <c r="G19" s="6" t="s">
        <v>563</v>
      </c>
      <c r="H19" s="6" t="s">
        <v>564</v>
      </c>
      <c r="I19" s="6">
        <v>3</v>
      </c>
      <c r="J19" s="6" t="s">
        <v>1052</v>
      </c>
      <c r="K19" s="6" t="s">
        <v>1093</v>
      </c>
      <c r="L19" s="6" t="s">
        <v>1054</v>
      </c>
      <c r="M19" s="6" t="s">
        <v>1094</v>
      </c>
      <c r="N19" s="6" t="s">
        <v>1077</v>
      </c>
      <c r="O19" s="6"/>
      <c r="P19" s="6"/>
      <c r="Q19" s="6"/>
      <c r="R19" s="6"/>
      <c r="S19" s="6" t="s">
        <v>1057</v>
      </c>
      <c r="T19" s="6" t="s">
        <v>1058</v>
      </c>
      <c r="U19" s="6"/>
      <c r="V19" s="6" t="s">
        <v>1059</v>
      </c>
      <c r="W19" s="6" t="s">
        <v>1057</v>
      </c>
      <c r="X19" s="12" t="str">
        <f>IF(V19="Approved","Yes","No")</f>
        <v>Yes</v>
      </c>
      <c r="Y19" s="6" t="s">
        <v>1060</v>
      </c>
      <c r="Z19" s="6" t="s">
        <v>1061</v>
      </c>
      <c r="AA19" s="6" t="s">
        <v>1062</v>
      </c>
    </row>
    <row r="20" spans="1:27" ht="45" customHeight="1">
      <c r="A20" s="4" t="s">
        <v>1096</v>
      </c>
      <c r="B20" s="4" t="s">
        <v>1037</v>
      </c>
      <c r="C20" s="4" t="s">
        <v>1051</v>
      </c>
      <c r="D20" s="4" t="s">
        <v>482</v>
      </c>
      <c r="E20" s="4" t="s">
        <v>481</v>
      </c>
      <c r="F20" s="4" t="s">
        <v>484</v>
      </c>
      <c r="G20" s="4" t="s">
        <v>563</v>
      </c>
      <c r="H20" s="4" t="s">
        <v>564</v>
      </c>
      <c r="I20" s="4">
        <v>3</v>
      </c>
      <c r="J20" s="4" t="s">
        <v>1052</v>
      </c>
      <c r="K20" s="4" t="s">
        <v>1097</v>
      </c>
      <c r="L20" s="4" t="s">
        <v>1054</v>
      </c>
      <c r="M20" s="4" t="s">
        <v>1098</v>
      </c>
      <c r="N20" s="4" t="s">
        <v>1099</v>
      </c>
      <c r="O20" s="4"/>
      <c r="P20" s="4"/>
      <c r="Q20" s="4"/>
      <c r="R20" s="4"/>
      <c r="S20" s="4" t="s">
        <v>1057</v>
      </c>
      <c r="T20" s="4" t="s">
        <v>1058</v>
      </c>
      <c r="U20" s="4"/>
      <c r="V20" s="4" t="s">
        <v>1059</v>
      </c>
      <c r="W20" s="4" t="s">
        <v>1057</v>
      </c>
      <c r="X20" s="11" t="str">
        <f>IF(V20="Approved","Yes","No")</f>
        <v>Yes</v>
      </c>
      <c r="Y20" s="4" t="s">
        <v>1060</v>
      </c>
      <c r="Z20" s="4" t="s">
        <v>1061</v>
      </c>
      <c r="AA20" s="4" t="s">
        <v>1062</v>
      </c>
    </row>
    <row r="21" spans="1:27" ht="45" customHeight="1">
      <c r="A21" s="6" t="s">
        <v>1100</v>
      </c>
      <c r="B21" s="6" t="s">
        <v>1041</v>
      </c>
      <c r="C21" s="6" t="s">
        <v>1051</v>
      </c>
      <c r="D21" s="6" t="s">
        <v>482</v>
      </c>
      <c r="E21" s="6" t="s">
        <v>490</v>
      </c>
      <c r="F21" s="6" t="s">
        <v>491</v>
      </c>
      <c r="G21" s="6" t="s">
        <v>563</v>
      </c>
      <c r="H21" s="6" t="s">
        <v>564</v>
      </c>
      <c r="I21" s="6">
        <v>3</v>
      </c>
      <c r="J21" s="6" t="s">
        <v>1052</v>
      </c>
      <c r="K21" s="6" t="s">
        <v>1097</v>
      </c>
      <c r="L21" s="6" t="s">
        <v>1054</v>
      </c>
      <c r="M21" s="6" t="s">
        <v>1098</v>
      </c>
      <c r="N21" s="6" t="s">
        <v>1099</v>
      </c>
      <c r="O21" s="6"/>
      <c r="P21" s="6"/>
      <c r="Q21" s="6"/>
      <c r="R21" s="6"/>
      <c r="S21" s="6" t="s">
        <v>1057</v>
      </c>
      <c r="T21" s="6" t="s">
        <v>1058</v>
      </c>
      <c r="U21" s="6"/>
      <c r="V21" s="6" t="s">
        <v>1059</v>
      </c>
      <c r="W21" s="6" t="s">
        <v>1057</v>
      </c>
      <c r="X21" s="12" t="str">
        <f>IF(V21="Approved","Yes","No")</f>
        <v>Yes</v>
      </c>
      <c r="Y21" s="6" t="s">
        <v>1060</v>
      </c>
      <c r="Z21" s="6" t="s">
        <v>1061</v>
      </c>
      <c r="AA21" s="6" t="s">
        <v>1062</v>
      </c>
    </row>
    <row r="22" spans="1:27" ht="45" customHeight="1">
      <c r="A22" s="4" t="s">
        <v>1101</v>
      </c>
      <c r="B22" s="4" t="s">
        <v>1037</v>
      </c>
      <c r="C22" s="4" t="s">
        <v>1051</v>
      </c>
      <c r="D22" s="4" t="s">
        <v>482</v>
      </c>
      <c r="E22" s="4" t="s">
        <v>481</v>
      </c>
      <c r="F22" s="4" t="s">
        <v>484</v>
      </c>
      <c r="G22" s="4" t="s">
        <v>621</v>
      </c>
      <c r="H22" s="4" t="s">
        <v>622</v>
      </c>
      <c r="I22" s="4">
        <v>3</v>
      </c>
      <c r="J22" s="4" t="s">
        <v>1052</v>
      </c>
      <c r="K22" s="4" t="s">
        <v>1102</v>
      </c>
      <c r="L22" s="4" t="s">
        <v>1054</v>
      </c>
      <c r="M22" s="4" t="s">
        <v>1103</v>
      </c>
      <c r="N22" s="4" t="s">
        <v>1077</v>
      </c>
      <c r="O22" s="4"/>
      <c r="P22" s="4"/>
      <c r="Q22" s="4"/>
      <c r="R22" s="4"/>
      <c r="S22" s="4" t="s">
        <v>1057</v>
      </c>
      <c r="T22" s="4" t="s">
        <v>1058</v>
      </c>
      <c r="U22" s="4"/>
      <c r="V22" s="4" t="s">
        <v>1059</v>
      </c>
      <c r="W22" s="4" t="s">
        <v>1057</v>
      </c>
      <c r="X22" s="11" t="str">
        <f>IF(V22="Approved","Yes","No")</f>
        <v>Yes</v>
      </c>
      <c r="Y22" s="4" t="s">
        <v>1060</v>
      </c>
      <c r="Z22" s="4" t="s">
        <v>1061</v>
      </c>
      <c r="AA22" s="4" t="s">
        <v>1062</v>
      </c>
    </row>
    <row r="23" spans="1:27" ht="45" customHeight="1">
      <c r="A23" s="6" t="s">
        <v>1104</v>
      </c>
      <c r="B23" s="6" t="s">
        <v>1041</v>
      </c>
      <c r="C23" s="6" t="s">
        <v>1051</v>
      </c>
      <c r="D23" s="6" t="s">
        <v>482</v>
      </c>
      <c r="E23" s="6" t="s">
        <v>490</v>
      </c>
      <c r="F23" s="6" t="s">
        <v>491</v>
      </c>
      <c r="G23" s="6" t="s">
        <v>593</v>
      </c>
      <c r="H23" s="6" t="s">
        <v>594</v>
      </c>
      <c r="I23" s="6">
        <v>3</v>
      </c>
      <c r="J23" s="6" t="s">
        <v>1052</v>
      </c>
      <c r="K23" s="6" t="s">
        <v>1102</v>
      </c>
      <c r="L23" s="6" t="s">
        <v>1054</v>
      </c>
      <c r="M23" s="6" t="s">
        <v>1103</v>
      </c>
      <c r="N23" s="6" t="s">
        <v>1077</v>
      </c>
      <c r="O23" s="6"/>
      <c r="P23" s="6"/>
      <c r="Q23" s="6"/>
      <c r="R23" s="6"/>
      <c r="S23" s="6" t="s">
        <v>1057</v>
      </c>
      <c r="T23" s="6" t="s">
        <v>1058</v>
      </c>
      <c r="U23" s="6"/>
      <c r="V23" s="6" t="s">
        <v>1059</v>
      </c>
      <c r="W23" s="6" t="s">
        <v>1057</v>
      </c>
      <c r="X23" s="12" t="str">
        <f>IF(V23="Approved","Yes","No")</f>
        <v>Yes</v>
      </c>
      <c r="Y23" s="6" t="s">
        <v>1060</v>
      </c>
      <c r="Z23" s="6" t="s">
        <v>1061</v>
      </c>
      <c r="AA23" s="6" t="s">
        <v>1062</v>
      </c>
    </row>
    <row r="24" spans="1:27" ht="45" customHeight="1">
      <c r="A24" s="4" t="s">
        <v>1105</v>
      </c>
      <c r="B24" s="4" t="s">
        <v>1037</v>
      </c>
      <c r="C24" s="4" t="s">
        <v>1051</v>
      </c>
      <c r="D24" s="4" t="s">
        <v>482</v>
      </c>
      <c r="E24" s="4" t="s">
        <v>481</v>
      </c>
      <c r="F24" s="4" t="s">
        <v>484</v>
      </c>
      <c r="G24" s="4" t="s">
        <v>636</v>
      </c>
      <c r="H24" s="4" t="s">
        <v>637</v>
      </c>
      <c r="I24" s="4">
        <v>3</v>
      </c>
      <c r="J24" s="4" t="s">
        <v>1052</v>
      </c>
      <c r="K24" s="4" t="s">
        <v>1106</v>
      </c>
      <c r="L24" s="4" t="s">
        <v>1054</v>
      </c>
      <c r="M24" s="4" t="s">
        <v>1107</v>
      </c>
      <c r="N24" s="4" t="s">
        <v>1077</v>
      </c>
      <c r="O24" s="4"/>
      <c r="P24" s="4"/>
      <c r="Q24" s="4"/>
      <c r="R24" s="4"/>
      <c r="S24" s="4" t="s">
        <v>1057</v>
      </c>
      <c r="T24" s="4" t="s">
        <v>1058</v>
      </c>
      <c r="U24" s="4"/>
      <c r="V24" s="4" t="s">
        <v>1059</v>
      </c>
      <c r="W24" s="4" t="s">
        <v>1057</v>
      </c>
      <c r="X24" s="11" t="str">
        <f>IF(V24="Approved","Yes","No")</f>
        <v>Yes</v>
      </c>
      <c r="Y24" s="4" t="s">
        <v>1060</v>
      </c>
      <c r="Z24" s="4" t="s">
        <v>1061</v>
      </c>
      <c r="AA24" s="4" t="s">
        <v>1062</v>
      </c>
    </row>
    <row r="25" spans="1:27" ht="45" customHeight="1">
      <c r="A25" s="6" t="s">
        <v>1108</v>
      </c>
      <c r="B25" s="6" t="s">
        <v>1041</v>
      </c>
      <c r="C25" s="6" t="s">
        <v>1051</v>
      </c>
      <c r="D25" s="6" t="s">
        <v>482</v>
      </c>
      <c r="E25" s="6" t="s">
        <v>490</v>
      </c>
      <c r="F25" s="6" t="s">
        <v>491</v>
      </c>
      <c r="G25" s="6" t="s">
        <v>636</v>
      </c>
      <c r="H25" s="6" t="s">
        <v>637</v>
      </c>
      <c r="I25" s="6">
        <v>3</v>
      </c>
      <c r="J25" s="6" t="s">
        <v>1052</v>
      </c>
      <c r="K25" s="6" t="s">
        <v>1106</v>
      </c>
      <c r="L25" s="6" t="s">
        <v>1054</v>
      </c>
      <c r="M25" s="6" t="s">
        <v>1107</v>
      </c>
      <c r="N25" s="6" t="s">
        <v>1077</v>
      </c>
      <c r="O25" s="6"/>
      <c r="P25" s="6"/>
      <c r="Q25" s="6"/>
      <c r="R25" s="6"/>
      <c r="S25" s="6" t="s">
        <v>1057</v>
      </c>
      <c r="T25" s="6" t="s">
        <v>1058</v>
      </c>
      <c r="U25" s="6"/>
      <c r="V25" s="6" t="s">
        <v>1059</v>
      </c>
      <c r="W25" s="6" t="s">
        <v>1057</v>
      </c>
      <c r="X25" s="12" t="str">
        <f>IF(V25="Approved","Yes","No")</f>
        <v>Yes</v>
      </c>
      <c r="Y25" s="6" t="s">
        <v>1060</v>
      </c>
      <c r="Z25" s="6" t="s">
        <v>1061</v>
      </c>
      <c r="AA25" s="6" t="s">
        <v>1062</v>
      </c>
    </row>
    <row r="26" spans="1:27" ht="45" customHeight="1">
      <c r="A26" s="4" t="s">
        <v>1109</v>
      </c>
      <c r="B26" s="4" t="s">
        <v>1037</v>
      </c>
      <c r="C26" s="4" t="s">
        <v>1051</v>
      </c>
      <c r="D26" s="4" t="s">
        <v>482</v>
      </c>
      <c r="E26" s="4" t="s">
        <v>481</v>
      </c>
      <c r="F26" s="4" t="s">
        <v>484</v>
      </c>
      <c r="G26" s="4" t="s">
        <v>563</v>
      </c>
      <c r="H26" s="4" t="s">
        <v>564</v>
      </c>
      <c r="I26" s="4">
        <v>3</v>
      </c>
      <c r="J26" s="4" t="s">
        <v>1052</v>
      </c>
      <c r="K26" s="4" t="s">
        <v>1110</v>
      </c>
      <c r="L26" s="4" t="s">
        <v>1054</v>
      </c>
      <c r="M26" s="4" t="s">
        <v>1111</v>
      </c>
      <c r="N26" s="4" t="s">
        <v>1077</v>
      </c>
      <c r="O26" s="4"/>
      <c r="P26" s="4"/>
      <c r="Q26" s="4"/>
      <c r="R26" s="4"/>
      <c r="S26" s="4" t="s">
        <v>1057</v>
      </c>
      <c r="T26" s="4" t="s">
        <v>1058</v>
      </c>
      <c r="U26" s="4"/>
      <c r="V26" s="4" t="s">
        <v>1059</v>
      </c>
      <c r="W26" s="4" t="s">
        <v>1057</v>
      </c>
      <c r="X26" s="11" t="str">
        <f>IF(V26="Approved","Yes","No")</f>
        <v>Yes</v>
      </c>
      <c r="Y26" s="4" t="s">
        <v>1060</v>
      </c>
      <c r="Z26" s="4" t="s">
        <v>1061</v>
      </c>
      <c r="AA26" s="4" t="s">
        <v>1062</v>
      </c>
    </row>
    <row r="27" spans="1:27" ht="45" customHeight="1">
      <c r="A27" s="6" t="s">
        <v>1112</v>
      </c>
      <c r="B27" s="6" t="s">
        <v>1041</v>
      </c>
      <c r="C27" s="6" t="s">
        <v>1051</v>
      </c>
      <c r="D27" s="6" t="s">
        <v>482</v>
      </c>
      <c r="E27" s="6" t="s">
        <v>490</v>
      </c>
      <c r="F27" s="6" t="s">
        <v>491</v>
      </c>
      <c r="G27" s="6" t="s">
        <v>650</v>
      </c>
      <c r="H27" s="6" t="s">
        <v>651</v>
      </c>
      <c r="I27" s="6">
        <v>3</v>
      </c>
      <c r="J27" s="6" t="s">
        <v>1052</v>
      </c>
      <c r="K27" s="6" t="s">
        <v>1110</v>
      </c>
      <c r="L27" s="6" t="s">
        <v>1054</v>
      </c>
      <c r="M27" s="6" t="s">
        <v>1111</v>
      </c>
      <c r="N27" s="6" t="s">
        <v>1077</v>
      </c>
      <c r="O27" s="6"/>
      <c r="P27" s="6"/>
      <c r="Q27" s="6"/>
      <c r="R27" s="6"/>
      <c r="S27" s="6" t="s">
        <v>1057</v>
      </c>
      <c r="T27" s="6" t="s">
        <v>1058</v>
      </c>
      <c r="U27" s="6"/>
      <c r="V27" s="6" t="s">
        <v>1059</v>
      </c>
      <c r="W27" s="6" t="s">
        <v>1057</v>
      </c>
      <c r="X27" s="12" t="str">
        <f>IF(V27="Approved","Yes","No")</f>
        <v>Yes</v>
      </c>
      <c r="Y27" s="6" t="s">
        <v>1060</v>
      </c>
      <c r="Z27" s="6" t="s">
        <v>1061</v>
      </c>
      <c r="AA27" s="6" t="s">
        <v>1062</v>
      </c>
    </row>
    <row r="28" spans="1:27" ht="45" customHeight="1">
      <c r="A28" s="4" t="s">
        <v>1113</v>
      </c>
      <c r="B28" s="4" t="s">
        <v>1037</v>
      </c>
      <c r="C28" s="4" t="s">
        <v>1051</v>
      </c>
      <c r="D28" s="4" t="s">
        <v>482</v>
      </c>
      <c r="E28" s="4" t="s">
        <v>481</v>
      </c>
      <c r="F28" s="4" t="s">
        <v>1114</v>
      </c>
      <c r="G28" s="4" t="s">
        <v>563</v>
      </c>
      <c r="H28" s="4" t="s">
        <v>564</v>
      </c>
      <c r="I28" s="4">
        <v>3</v>
      </c>
      <c r="J28" s="4" t="s">
        <v>1052</v>
      </c>
      <c r="K28" s="4" t="s">
        <v>1115</v>
      </c>
      <c r="L28" s="4" t="s">
        <v>1054</v>
      </c>
      <c r="M28" s="4" t="s">
        <v>1116</v>
      </c>
      <c r="N28" s="4" t="s">
        <v>1117</v>
      </c>
      <c r="O28" s="4"/>
      <c r="P28" s="4"/>
      <c r="Q28" s="4"/>
      <c r="R28" s="4"/>
      <c r="S28" s="4" t="s">
        <v>1057</v>
      </c>
      <c r="T28" s="4" t="s">
        <v>1058</v>
      </c>
      <c r="U28" s="4"/>
      <c r="V28" s="4" t="s">
        <v>1059</v>
      </c>
      <c r="W28" s="4" t="s">
        <v>1057</v>
      </c>
      <c r="X28" s="11" t="str">
        <f>IF(V28="Approved","Yes","No")</f>
        <v>Yes</v>
      </c>
      <c r="Y28" s="4" t="s">
        <v>1118</v>
      </c>
      <c r="Z28" s="4" t="s">
        <v>1061</v>
      </c>
      <c r="AA28" s="4" t="s">
        <v>1062</v>
      </c>
    </row>
    <row r="29" spans="1:27" ht="45" customHeight="1">
      <c r="A29" s="6" t="s">
        <v>1119</v>
      </c>
      <c r="B29" s="6" t="s">
        <v>1037</v>
      </c>
      <c r="C29" s="6" t="s">
        <v>1051</v>
      </c>
      <c r="D29" s="6" t="s">
        <v>482</v>
      </c>
      <c r="E29" s="6" t="s">
        <v>481</v>
      </c>
      <c r="F29" s="6" t="s">
        <v>1114</v>
      </c>
      <c r="G29" s="6" t="s">
        <v>586</v>
      </c>
      <c r="H29" s="6" t="s">
        <v>587</v>
      </c>
      <c r="I29" s="6">
        <v>3</v>
      </c>
      <c r="J29" s="6" t="s">
        <v>1052</v>
      </c>
      <c r="K29" s="6" t="s">
        <v>1120</v>
      </c>
      <c r="L29" s="6" t="s">
        <v>1054</v>
      </c>
      <c r="M29" s="6" t="s">
        <v>1121</v>
      </c>
      <c r="N29" s="6" t="s">
        <v>1122</v>
      </c>
      <c r="O29" s="6"/>
      <c r="P29" s="6"/>
      <c r="Q29" s="6"/>
      <c r="R29" s="6"/>
      <c r="S29" s="6" t="s">
        <v>1057</v>
      </c>
      <c r="T29" s="6" t="s">
        <v>1058</v>
      </c>
      <c r="U29" s="6"/>
      <c r="V29" s="6" t="s">
        <v>1059</v>
      </c>
      <c r="W29" s="6" t="s">
        <v>1057</v>
      </c>
      <c r="X29" s="12" t="str">
        <f>IF(V29="Approved","Yes","No")</f>
        <v>Yes</v>
      </c>
      <c r="Y29" s="6" t="s">
        <v>1118</v>
      </c>
      <c r="Z29" s="6" t="s">
        <v>1061</v>
      </c>
      <c r="AA29" s="6" t="s">
        <v>1062</v>
      </c>
    </row>
    <row r="30" spans="1:27" ht="45" customHeight="1">
      <c r="A30" s="4" t="s">
        <v>1123</v>
      </c>
      <c r="B30" s="4" t="s">
        <v>1037</v>
      </c>
      <c r="C30" s="4" t="s">
        <v>1051</v>
      </c>
      <c r="D30" s="4" t="s">
        <v>482</v>
      </c>
      <c r="E30" s="4" t="s">
        <v>481</v>
      </c>
      <c r="F30" s="4" t="s">
        <v>1114</v>
      </c>
      <c r="G30" s="4" t="s">
        <v>563</v>
      </c>
      <c r="H30" s="4" t="s">
        <v>564</v>
      </c>
      <c r="I30" s="4">
        <v>3</v>
      </c>
      <c r="J30" s="4" t="s">
        <v>1052</v>
      </c>
      <c r="K30" s="4" t="s">
        <v>1124</v>
      </c>
      <c r="L30" s="4" t="s">
        <v>1054</v>
      </c>
      <c r="M30" s="4" t="s">
        <v>1125</v>
      </c>
      <c r="N30" s="4" t="s">
        <v>1077</v>
      </c>
      <c r="O30" s="4"/>
      <c r="P30" s="4"/>
      <c r="Q30" s="4"/>
      <c r="R30" s="4"/>
      <c r="S30" s="4" t="s">
        <v>1057</v>
      </c>
      <c r="T30" s="4" t="s">
        <v>1058</v>
      </c>
      <c r="U30" s="4"/>
      <c r="V30" s="4" t="s">
        <v>1059</v>
      </c>
      <c r="W30" s="4" t="s">
        <v>1057</v>
      </c>
      <c r="X30" s="11" t="str">
        <f>IF(V30="Approved","Yes","No")</f>
        <v>Yes</v>
      </c>
      <c r="Y30" s="4" t="s">
        <v>1118</v>
      </c>
      <c r="Z30" s="4" t="s">
        <v>1061</v>
      </c>
      <c r="AA30" s="4" t="s">
        <v>1062</v>
      </c>
    </row>
    <row r="31" spans="1:27" ht="45" customHeight="1">
      <c r="A31" s="6" t="s">
        <v>1126</v>
      </c>
      <c r="B31" s="6" t="s">
        <v>1037</v>
      </c>
      <c r="C31" s="6" t="s">
        <v>1051</v>
      </c>
      <c r="D31" s="6" t="s">
        <v>482</v>
      </c>
      <c r="E31" s="6" t="s">
        <v>481</v>
      </c>
      <c r="F31" s="6" t="s">
        <v>1114</v>
      </c>
      <c r="G31" s="6" t="s">
        <v>563</v>
      </c>
      <c r="H31" s="6" t="s">
        <v>564</v>
      </c>
      <c r="I31" s="6">
        <v>3</v>
      </c>
      <c r="J31" s="6" t="s">
        <v>1052</v>
      </c>
      <c r="K31" s="6" t="s">
        <v>1127</v>
      </c>
      <c r="L31" s="6" t="s">
        <v>1054</v>
      </c>
      <c r="M31" s="6" t="s">
        <v>1128</v>
      </c>
      <c r="N31" s="6" t="s">
        <v>1117</v>
      </c>
      <c r="O31" s="6"/>
      <c r="P31" s="6"/>
      <c r="Q31" s="6"/>
      <c r="R31" s="6"/>
      <c r="S31" s="6" t="s">
        <v>1057</v>
      </c>
      <c r="T31" s="6" t="s">
        <v>1058</v>
      </c>
      <c r="U31" s="6"/>
      <c r="V31" s="6" t="s">
        <v>1059</v>
      </c>
      <c r="W31" s="6" t="s">
        <v>1057</v>
      </c>
      <c r="X31" s="12" t="str">
        <f>IF(V31="Approved","Yes","No")</f>
        <v>Yes</v>
      </c>
      <c r="Y31" s="6" t="s">
        <v>1118</v>
      </c>
      <c r="Z31" s="6" t="s">
        <v>1061</v>
      </c>
      <c r="AA31" s="6" t="s">
        <v>1062</v>
      </c>
    </row>
    <row r="32" spans="1:27" ht="45" customHeight="1">
      <c r="A32" s="4" t="s">
        <v>1129</v>
      </c>
      <c r="B32" s="4" t="s">
        <v>1037</v>
      </c>
      <c r="C32" s="4" t="s">
        <v>1051</v>
      </c>
      <c r="D32" s="4" t="s">
        <v>482</v>
      </c>
      <c r="E32" s="4" t="s">
        <v>481</v>
      </c>
      <c r="F32" s="4" t="s">
        <v>1114</v>
      </c>
      <c r="G32" s="4" t="s">
        <v>621</v>
      </c>
      <c r="H32" s="4" t="s">
        <v>622</v>
      </c>
      <c r="I32" s="4">
        <v>3</v>
      </c>
      <c r="J32" s="4" t="s">
        <v>1052</v>
      </c>
      <c r="K32" s="4" t="s">
        <v>1130</v>
      </c>
      <c r="L32" s="4" t="s">
        <v>1054</v>
      </c>
      <c r="M32" s="4" t="s">
        <v>1131</v>
      </c>
      <c r="N32" s="4" t="s">
        <v>1132</v>
      </c>
      <c r="O32" s="4"/>
      <c r="P32" s="4"/>
      <c r="Q32" s="4"/>
      <c r="R32" s="4"/>
      <c r="S32" s="4" t="s">
        <v>1057</v>
      </c>
      <c r="T32" s="4" t="s">
        <v>1058</v>
      </c>
      <c r="U32" s="4"/>
      <c r="V32" s="4" t="s">
        <v>1059</v>
      </c>
      <c r="W32" s="4" t="s">
        <v>1057</v>
      </c>
      <c r="X32" s="11" t="str">
        <f>IF(V32="Approved","Yes","No")</f>
        <v>Yes</v>
      </c>
      <c r="Y32" s="4" t="s">
        <v>1118</v>
      </c>
      <c r="Z32" s="4" t="s">
        <v>1061</v>
      </c>
      <c r="AA32" s="4" t="s">
        <v>1062</v>
      </c>
    </row>
    <row r="33" spans="1:27" ht="45" customHeight="1">
      <c r="A33" s="6" t="s">
        <v>1133</v>
      </c>
      <c r="B33" s="6" t="s">
        <v>1037</v>
      </c>
      <c r="C33" s="6" t="s">
        <v>1051</v>
      </c>
      <c r="D33" s="6" t="s">
        <v>482</v>
      </c>
      <c r="E33" s="6" t="s">
        <v>481</v>
      </c>
      <c r="F33" s="6" t="s">
        <v>1114</v>
      </c>
      <c r="G33" s="6" t="s">
        <v>563</v>
      </c>
      <c r="H33" s="6" t="s">
        <v>564</v>
      </c>
      <c r="I33" s="6">
        <v>3</v>
      </c>
      <c r="J33" s="6" t="s">
        <v>1052</v>
      </c>
      <c r="K33" s="6" t="s">
        <v>1134</v>
      </c>
      <c r="L33" s="6" t="s">
        <v>1054</v>
      </c>
      <c r="M33" s="6" t="s">
        <v>1135</v>
      </c>
      <c r="N33" s="6" t="s">
        <v>1117</v>
      </c>
      <c r="O33" s="6"/>
      <c r="P33" s="6"/>
      <c r="Q33" s="6"/>
      <c r="R33" s="6"/>
      <c r="S33" s="6" t="s">
        <v>1057</v>
      </c>
      <c r="T33" s="6" t="s">
        <v>1058</v>
      </c>
      <c r="U33" s="6"/>
      <c r="V33" s="6" t="s">
        <v>1059</v>
      </c>
      <c r="W33" s="6" t="s">
        <v>1057</v>
      </c>
      <c r="X33" s="12" t="str">
        <f>IF(V33="Approved","Yes","No")</f>
        <v>Yes</v>
      </c>
      <c r="Y33" s="6" t="s">
        <v>1118</v>
      </c>
      <c r="Z33" s="6" t="s">
        <v>1061</v>
      </c>
      <c r="AA33" s="6" t="s">
        <v>1062</v>
      </c>
    </row>
    <row r="34" spans="1:27" ht="45" customHeight="1">
      <c r="A34" s="4" t="s">
        <v>1136</v>
      </c>
      <c r="B34" s="4" t="s">
        <v>1037</v>
      </c>
      <c r="C34" s="4" t="s">
        <v>1051</v>
      </c>
      <c r="D34" s="4" t="s">
        <v>482</v>
      </c>
      <c r="E34" s="4" t="s">
        <v>481</v>
      </c>
      <c r="F34" s="4" t="s">
        <v>1114</v>
      </c>
      <c r="G34" s="4" t="s">
        <v>586</v>
      </c>
      <c r="H34" s="4" t="s">
        <v>587</v>
      </c>
      <c r="I34" s="4">
        <v>3</v>
      </c>
      <c r="J34" s="4" t="s">
        <v>1052</v>
      </c>
      <c r="K34" s="4" t="s">
        <v>1137</v>
      </c>
      <c r="L34" s="4" t="s">
        <v>1054</v>
      </c>
      <c r="M34" s="4" t="s">
        <v>1138</v>
      </c>
      <c r="N34" s="4" t="s">
        <v>1139</v>
      </c>
      <c r="O34" s="4"/>
      <c r="P34" s="4"/>
      <c r="Q34" s="4"/>
      <c r="R34" s="4"/>
      <c r="S34" s="4" t="s">
        <v>1057</v>
      </c>
      <c r="T34" s="4" t="s">
        <v>1058</v>
      </c>
      <c r="U34" s="4"/>
      <c r="V34" s="4" t="s">
        <v>1059</v>
      </c>
      <c r="W34" s="4" t="s">
        <v>1057</v>
      </c>
      <c r="X34" s="11" t="str">
        <f>IF(V34="Approved","Yes","No")</f>
        <v>Yes</v>
      </c>
      <c r="Y34" s="4" t="s">
        <v>1118</v>
      </c>
      <c r="Z34" s="4" t="s">
        <v>1061</v>
      </c>
      <c r="AA34" s="4" t="s">
        <v>1062</v>
      </c>
    </row>
    <row r="35" spans="1:27" ht="45" customHeight="1">
      <c r="A35" s="6" t="s">
        <v>1140</v>
      </c>
      <c r="B35" s="6" t="s">
        <v>1037</v>
      </c>
      <c r="C35" s="6" t="s">
        <v>1051</v>
      </c>
      <c r="D35" s="6" t="s">
        <v>482</v>
      </c>
      <c r="E35" s="6" t="s">
        <v>481</v>
      </c>
      <c r="F35" s="6" t="s">
        <v>1114</v>
      </c>
      <c r="G35" s="6" t="s">
        <v>563</v>
      </c>
      <c r="H35" s="6" t="s">
        <v>564</v>
      </c>
      <c r="I35" s="6">
        <v>3</v>
      </c>
      <c r="J35" s="6" t="s">
        <v>1052</v>
      </c>
      <c r="K35" s="6" t="s">
        <v>1141</v>
      </c>
      <c r="L35" s="6" t="s">
        <v>1054</v>
      </c>
      <c r="M35" s="6" t="s">
        <v>1142</v>
      </c>
      <c r="N35" s="6" t="s">
        <v>1143</v>
      </c>
      <c r="O35" s="6"/>
      <c r="P35" s="6"/>
      <c r="Q35" s="6"/>
      <c r="R35" s="6"/>
      <c r="S35" s="6" t="s">
        <v>1057</v>
      </c>
      <c r="T35" s="6" t="s">
        <v>1058</v>
      </c>
      <c r="U35" s="6"/>
      <c r="V35" s="6" t="s">
        <v>1059</v>
      </c>
      <c r="W35" s="6" t="s">
        <v>1057</v>
      </c>
      <c r="X35" s="12" t="str">
        <f>IF(V35="Approved","Yes","No")</f>
        <v>Yes</v>
      </c>
      <c r="Y35" s="6" t="s">
        <v>1118</v>
      </c>
      <c r="Z35" s="6" t="s">
        <v>1061</v>
      </c>
      <c r="AA35" s="6" t="s">
        <v>1062</v>
      </c>
    </row>
    <row r="36" spans="1:27" ht="45" customHeight="1">
      <c r="A36" s="4" t="s">
        <v>1144</v>
      </c>
      <c r="B36" s="4" t="s">
        <v>1037</v>
      </c>
      <c r="C36" s="4" t="s">
        <v>1051</v>
      </c>
      <c r="D36" s="4" t="s">
        <v>482</v>
      </c>
      <c r="E36" s="4" t="s">
        <v>481</v>
      </c>
      <c r="F36" s="4" t="s">
        <v>1114</v>
      </c>
      <c r="G36" s="4" t="s">
        <v>563</v>
      </c>
      <c r="H36" s="4" t="s">
        <v>564</v>
      </c>
      <c r="I36" s="4">
        <v>3</v>
      </c>
      <c r="J36" s="4" t="s">
        <v>1052</v>
      </c>
      <c r="K36" s="4" t="s">
        <v>1145</v>
      </c>
      <c r="L36" s="4" t="s">
        <v>1054</v>
      </c>
      <c r="M36" s="4" t="s">
        <v>1146</v>
      </c>
      <c r="N36" s="4" t="s">
        <v>1147</v>
      </c>
      <c r="O36" s="4"/>
      <c r="P36" s="4"/>
      <c r="Q36" s="4"/>
      <c r="R36" s="4"/>
      <c r="S36" s="4" t="s">
        <v>1057</v>
      </c>
      <c r="T36" s="4" t="s">
        <v>1058</v>
      </c>
      <c r="U36" s="4"/>
      <c r="V36" s="4" t="s">
        <v>1059</v>
      </c>
      <c r="W36" s="4" t="s">
        <v>1057</v>
      </c>
      <c r="X36" s="11" t="str">
        <f>IF(V36="Approved","Yes","No")</f>
        <v>Yes</v>
      </c>
      <c r="Y36" s="4" t="s">
        <v>1118</v>
      </c>
      <c r="Z36" s="4" t="s">
        <v>1061</v>
      </c>
      <c r="AA36" s="4" t="s">
        <v>1062</v>
      </c>
    </row>
    <row r="37" spans="1:27" ht="45" customHeight="1">
      <c r="A37" s="6" t="s">
        <v>1148</v>
      </c>
      <c r="B37" s="6" t="s">
        <v>1037</v>
      </c>
      <c r="C37" s="6" t="s">
        <v>1051</v>
      </c>
      <c r="D37" s="6" t="s">
        <v>482</v>
      </c>
      <c r="E37" s="6" t="s">
        <v>481</v>
      </c>
      <c r="F37" s="6" t="s">
        <v>1114</v>
      </c>
      <c r="G37" s="6" t="s">
        <v>563</v>
      </c>
      <c r="H37" s="6" t="s">
        <v>564</v>
      </c>
      <c r="I37" s="6">
        <v>3</v>
      </c>
      <c r="J37" s="6" t="s">
        <v>1052</v>
      </c>
      <c r="K37" s="6" t="s">
        <v>1149</v>
      </c>
      <c r="L37" s="6" t="s">
        <v>1054</v>
      </c>
      <c r="M37" s="6" t="s">
        <v>1150</v>
      </c>
      <c r="N37" s="6" t="s">
        <v>1077</v>
      </c>
      <c r="O37" s="6"/>
      <c r="P37" s="6"/>
      <c r="Q37" s="6"/>
      <c r="R37" s="6"/>
      <c r="S37" s="6" t="s">
        <v>1057</v>
      </c>
      <c r="T37" s="6" t="s">
        <v>1058</v>
      </c>
      <c r="U37" s="6"/>
      <c r="V37" s="6" t="s">
        <v>1059</v>
      </c>
      <c r="W37" s="6" t="s">
        <v>1057</v>
      </c>
      <c r="X37" s="12" t="str">
        <f>IF(V37="Approved","Yes","No")</f>
        <v>Yes</v>
      </c>
      <c r="Y37" s="6" t="s">
        <v>1118</v>
      </c>
      <c r="Z37" s="6" t="s">
        <v>1061</v>
      </c>
      <c r="AA37" s="6" t="s">
        <v>1062</v>
      </c>
    </row>
    <row r="38" spans="1:27" ht="45" customHeight="1">
      <c r="A38" s="4" t="s">
        <v>1151</v>
      </c>
      <c r="B38" s="4" t="s">
        <v>1037</v>
      </c>
      <c r="C38" s="4" t="s">
        <v>1051</v>
      </c>
      <c r="D38" s="4" t="s">
        <v>482</v>
      </c>
      <c r="E38" s="4" t="s">
        <v>481</v>
      </c>
      <c r="F38" s="4" t="s">
        <v>1114</v>
      </c>
      <c r="G38" s="4" t="s">
        <v>563</v>
      </c>
      <c r="H38" s="4" t="s">
        <v>564</v>
      </c>
      <c r="I38" s="4">
        <v>3</v>
      </c>
      <c r="J38" s="4" t="s">
        <v>1052</v>
      </c>
      <c r="K38" s="4" t="s">
        <v>1152</v>
      </c>
      <c r="L38" s="4" t="s">
        <v>1054</v>
      </c>
      <c r="M38" s="4" t="s">
        <v>1153</v>
      </c>
      <c r="N38" s="4" t="s">
        <v>1077</v>
      </c>
      <c r="O38" s="4"/>
      <c r="P38" s="4"/>
      <c r="Q38" s="4"/>
      <c r="R38" s="4"/>
      <c r="S38" s="4" t="s">
        <v>1057</v>
      </c>
      <c r="T38" s="4" t="s">
        <v>1058</v>
      </c>
      <c r="U38" s="4"/>
      <c r="V38" s="4" t="s">
        <v>1059</v>
      </c>
      <c r="W38" s="4" t="s">
        <v>1057</v>
      </c>
      <c r="X38" s="11" t="str">
        <f>IF(V38="Approved","Yes","No")</f>
        <v>Yes</v>
      </c>
      <c r="Y38" s="4" t="s">
        <v>1118</v>
      </c>
      <c r="Z38" s="4" t="s">
        <v>1061</v>
      </c>
      <c r="AA38" s="4" t="s">
        <v>1062</v>
      </c>
    </row>
    <row r="39" spans="1:27" ht="45" customHeight="1">
      <c r="A39" s="6" t="s">
        <v>1154</v>
      </c>
      <c r="B39" s="6" t="s">
        <v>1037</v>
      </c>
      <c r="C39" s="6" t="s">
        <v>1051</v>
      </c>
      <c r="D39" s="6" t="s">
        <v>482</v>
      </c>
      <c r="E39" s="6" t="s">
        <v>481</v>
      </c>
      <c r="F39" s="6" t="s">
        <v>1114</v>
      </c>
      <c r="G39" s="6" t="s">
        <v>563</v>
      </c>
      <c r="H39" s="6" t="s">
        <v>564</v>
      </c>
      <c r="I39" s="6">
        <v>3</v>
      </c>
      <c r="J39" s="6" t="s">
        <v>1052</v>
      </c>
      <c r="K39" s="6" t="s">
        <v>1155</v>
      </c>
      <c r="L39" s="6" t="s">
        <v>1054</v>
      </c>
      <c r="M39" s="6" t="s">
        <v>1156</v>
      </c>
      <c r="N39" s="6" t="s">
        <v>1077</v>
      </c>
      <c r="O39" s="6"/>
      <c r="P39" s="6"/>
      <c r="Q39" s="6"/>
      <c r="R39" s="6"/>
      <c r="S39" s="6" t="s">
        <v>1057</v>
      </c>
      <c r="T39" s="6" t="s">
        <v>1058</v>
      </c>
      <c r="U39" s="6"/>
      <c r="V39" s="6" t="s">
        <v>1059</v>
      </c>
      <c r="W39" s="6" t="s">
        <v>1057</v>
      </c>
      <c r="X39" s="12" t="str">
        <f>IF(V39="Approved","Yes","No")</f>
        <v>Yes</v>
      </c>
      <c r="Y39" s="6" t="s">
        <v>1118</v>
      </c>
      <c r="Z39" s="6" t="s">
        <v>1061</v>
      </c>
      <c r="AA39" s="6" t="s">
        <v>1062</v>
      </c>
    </row>
    <row r="40" spans="1:27" ht="45" customHeight="1">
      <c r="A40" s="4" t="s">
        <v>1157</v>
      </c>
      <c r="B40" s="4" t="s">
        <v>1037</v>
      </c>
      <c r="C40" s="4" t="s">
        <v>1158</v>
      </c>
      <c r="D40" s="4" t="s">
        <v>482</v>
      </c>
      <c r="E40" s="4" t="s">
        <v>481</v>
      </c>
      <c r="F40" s="4" t="s">
        <v>484</v>
      </c>
      <c r="G40" s="4" t="s">
        <v>572</v>
      </c>
      <c r="H40" s="4" t="s">
        <v>573</v>
      </c>
      <c r="I40" s="4">
        <v>3</v>
      </c>
      <c r="J40" s="4" t="s">
        <v>1159</v>
      </c>
      <c r="K40" s="4" t="s">
        <v>1160</v>
      </c>
      <c r="L40" s="4" t="s">
        <v>1054</v>
      </c>
      <c r="M40" s="4" t="s">
        <v>1161</v>
      </c>
      <c r="N40" s="4" t="s">
        <v>1162</v>
      </c>
      <c r="O40" s="4" t="s">
        <v>1163</v>
      </c>
      <c r="P40" s="4" t="s">
        <v>1164</v>
      </c>
      <c r="Q40" s="4" t="s">
        <v>1165</v>
      </c>
      <c r="R40" s="4" t="s">
        <v>1166</v>
      </c>
      <c r="S40" s="4" t="s">
        <v>1057</v>
      </c>
      <c r="T40" s="4" t="s">
        <v>1058</v>
      </c>
      <c r="U40" s="4">
        <v>0.73</v>
      </c>
      <c r="V40" s="4" t="s">
        <v>1167</v>
      </c>
      <c r="W40" s="4" t="s">
        <v>1168</v>
      </c>
      <c r="X40" s="11" t="str">
        <f>IF(V40="Approved","Yes","No")</f>
        <v>No</v>
      </c>
      <c r="Y40" s="4" t="s">
        <v>1060</v>
      </c>
      <c r="Z40" s="4" t="s">
        <v>1169</v>
      </c>
      <c r="AA40" s="4" t="s">
        <v>1062</v>
      </c>
    </row>
    <row r="41" spans="1:27" ht="45" customHeight="1">
      <c r="A41" s="6" t="s">
        <v>1170</v>
      </c>
      <c r="B41" s="6" t="s">
        <v>1037</v>
      </c>
      <c r="C41" s="6" t="s">
        <v>1158</v>
      </c>
      <c r="D41" s="6" t="s">
        <v>482</v>
      </c>
      <c r="E41" s="6" t="s">
        <v>481</v>
      </c>
      <c r="F41" s="6" t="s">
        <v>484</v>
      </c>
      <c r="G41" s="6" t="s">
        <v>579</v>
      </c>
      <c r="H41" s="6" t="s">
        <v>580</v>
      </c>
      <c r="I41" s="6">
        <v>3</v>
      </c>
      <c r="J41" s="6" t="s">
        <v>1159</v>
      </c>
      <c r="K41" s="6" t="s">
        <v>1160</v>
      </c>
      <c r="L41" s="6" t="s">
        <v>1054</v>
      </c>
      <c r="M41" s="6" t="s">
        <v>1171</v>
      </c>
      <c r="N41" s="6" t="s">
        <v>1162</v>
      </c>
      <c r="O41" s="6" t="s">
        <v>1172</v>
      </c>
      <c r="P41" s="6" t="s">
        <v>1164</v>
      </c>
      <c r="Q41" s="6" t="s">
        <v>1165</v>
      </c>
      <c r="R41" s="6" t="s">
        <v>1166</v>
      </c>
      <c r="S41" s="6" t="s">
        <v>1057</v>
      </c>
      <c r="T41" s="6" t="s">
        <v>1058</v>
      </c>
      <c r="U41" s="6">
        <v>0.77</v>
      </c>
      <c r="V41" s="6" t="s">
        <v>1059</v>
      </c>
      <c r="W41" s="6" t="s">
        <v>1057</v>
      </c>
      <c r="X41" s="12" t="str">
        <f>IF(V41="Approved","Yes","No")</f>
        <v>Yes</v>
      </c>
      <c r="Y41" s="6" t="s">
        <v>1060</v>
      </c>
      <c r="Z41" s="6" t="s">
        <v>1173</v>
      </c>
      <c r="AA41" s="6" t="s">
        <v>1062</v>
      </c>
    </row>
    <row r="42" spans="1:27" ht="45" customHeight="1">
      <c r="A42" s="4" t="s">
        <v>1174</v>
      </c>
      <c r="B42" s="4" t="s">
        <v>1037</v>
      </c>
      <c r="C42" s="4" t="s">
        <v>1158</v>
      </c>
      <c r="D42" s="4" t="s">
        <v>482</v>
      </c>
      <c r="E42" s="4" t="s">
        <v>481</v>
      </c>
      <c r="F42" s="4" t="s">
        <v>484</v>
      </c>
      <c r="G42" s="4" t="s">
        <v>600</v>
      </c>
      <c r="H42" s="4" t="s">
        <v>601</v>
      </c>
      <c r="I42" s="4">
        <v>3</v>
      </c>
      <c r="J42" s="4" t="s">
        <v>1159</v>
      </c>
      <c r="K42" s="4" t="s">
        <v>1160</v>
      </c>
      <c r="L42" s="4" t="s">
        <v>1054</v>
      </c>
      <c r="M42" s="4" t="s">
        <v>1175</v>
      </c>
      <c r="N42" s="4" t="s">
        <v>1162</v>
      </c>
      <c r="O42" s="4" t="s">
        <v>1176</v>
      </c>
      <c r="P42" s="4" t="s">
        <v>1164</v>
      </c>
      <c r="Q42" s="4" t="s">
        <v>1165</v>
      </c>
      <c r="R42" s="4" t="s">
        <v>1166</v>
      </c>
      <c r="S42" s="4" t="s">
        <v>1057</v>
      </c>
      <c r="T42" s="4" t="s">
        <v>1058</v>
      </c>
      <c r="U42" s="4">
        <v>0.86</v>
      </c>
      <c r="V42" s="4" t="s">
        <v>1167</v>
      </c>
      <c r="W42" s="4" t="s">
        <v>1168</v>
      </c>
      <c r="X42" s="11" t="str">
        <f>IF(V42="Approved","Yes","No")</f>
        <v>No</v>
      </c>
      <c r="Y42" s="4" t="s">
        <v>1060</v>
      </c>
      <c r="Z42" s="4" t="s">
        <v>1177</v>
      </c>
      <c r="AA42" s="4" t="s">
        <v>1062</v>
      </c>
    </row>
    <row r="43" spans="1:27" ht="45" customHeight="1">
      <c r="A43" s="6" t="s">
        <v>1178</v>
      </c>
      <c r="B43" s="6" t="s">
        <v>1037</v>
      </c>
      <c r="C43" s="6" t="s">
        <v>1158</v>
      </c>
      <c r="D43" s="6" t="s">
        <v>482</v>
      </c>
      <c r="E43" s="6" t="s">
        <v>481</v>
      </c>
      <c r="F43" s="6" t="s">
        <v>484</v>
      </c>
      <c r="G43" s="6" t="s">
        <v>614</v>
      </c>
      <c r="H43" s="6" t="s">
        <v>615</v>
      </c>
      <c r="I43" s="6">
        <v>3</v>
      </c>
      <c r="J43" s="6" t="s">
        <v>1159</v>
      </c>
      <c r="K43" s="6" t="s">
        <v>1160</v>
      </c>
      <c r="L43" s="6" t="s">
        <v>1054</v>
      </c>
      <c r="M43" s="6" t="s">
        <v>1179</v>
      </c>
      <c r="N43" s="6" t="s">
        <v>1162</v>
      </c>
      <c r="O43" s="6" t="s">
        <v>1180</v>
      </c>
      <c r="P43" s="6" t="s">
        <v>1164</v>
      </c>
      <c r="Q43" s="6" t="s">
        <v>1165</v>
      </c>
      <c r="R43" s="6" t="s">
        <v>1166</v>
      </c>
      <c r="S43" s="6" t="s">
        <v>1057</v>
      </c>
      <c r="T43" s="6" t="s">
        <v>1058</v>
      </c>
      <c r="U43" s="6">
        <v>0.74</v>
      </c>
      <c r="V43" s="6" t="s">
        <v>1167</v>
      </c>
      <c r="W43" s="6" t="s">
        <v>1168</v>
      </c>
      <c r="X43" s="12" t="str">
        <f>IF(V43="Approved","Yes","No")</f>
        <v>No</v>
      </c>
      <c r="Y43" s="6" t="s">
        <v>1060</v>
      </c>
      <c r="Z43" s="6" t="s">
        <v>1181</v>
      </c>
      <c r="AA43" s="6" t="s">
        <v>1062</v>
      </c>
    </row>
    <row r="44" spans="1:27" ht="45" customHeight="1">
      <c r="A44" s="4" t="s">
        <v>1182</v>
      </c>
      <c r="B44" s="4" t="s">
        <v>1037</v>
      </c>
      <c r="C44" s="4" t="s">
        <v>1158</v>
      </c>
      <c r="D44" s="4" t="s">
        <v>482</v>
      </c>
      <c r="E44" s="4" t="s">
        <v>481</v>
      </c>
      <c r="F44" s="4" t="s">
        <v>484</v>
      </c>
      <c r="G44" s="4" t="s">
        <v>628</v>
      </c>
      <c r="H44" s="4" t="s">
        <v>629</v>
      </c>
      <c r="I44" s="4">
        <v>3</v>
      </c>
      <c r="J44" s="4" t="s">
        <v>1159</v>
      </c>
      <c r="K44" s="4" t="s">
        <v>1160</v>
      </c>
      <c r="L44" s="4" t="s">
        <v>1054</v>
      </c>
      <c r="M44" s="4" t="s">
        <v>1183</v>
      </c>
      <c r="N44" s="4" t="s">
        <v>1162</v>
      </c>
      <c r="O44" s="4" t="s">
        <v>1184</v>
      </c>
      <c r="P44" s="4" t="s">
        <v>1164</v>
      </c>
      <c r="Q44" s="4" t="s">
        <v>1165</v>
      </c>
      <c r="R44" s="4" t="s">
        <v>1166</v>
      </c>
      <c r="S44" s="4" t="s">
        <v>1057</v>
      </c>
      <c r="T44" s="4" t="s">
        <v>1058</v>
      </c>
      <c r="U44" s="4">
        <v>0.73</v>
      </c>
      <c r="V44" s="4" t="s">
        <v>1059</v>
      </c>
      <c r="W44" s="4" t="s">
        <v>1057</v>
      </c>
      <c r="X44" s="11" t="str">
        <f>IF(V44="Approved","Yes","No")</f>
        <v>Yes</v>
      </c>
      <c r="Y44" s="4" t="s">
        <v>1060</v>
      </c>
      <c r="Z44" s="4" t="s">
        <v>1185</v>
      </c>
      <c r="AA44" s="4" t="s">
        <v>1062</v>
      </c>
    </row>
    <row r="45" spans="1:27" ht="45" customHeight="1">
      <c r="A45" s="6" t="s">
        <v>1186</v>
      </c>
      <c r="B45" s="6" t="s">
        <v>1039</v>
      </c>
      <c r="C45" s="6" t="s">
        <v>1158</v>
      </c>
      <c r="D45" s="6" t="s">
        <v>482</v>
      </c>
      <c r="E45" s="6" t="s">
        <v>487</v>
      </c>
      <c r="F45" s="6" t="s">
        <v>488</v>
      </c>
      <c r="G45" s="6" t="s">
        <v>563</v>
      </c>
      <c r="H45" s="6" t="s">
        <v>564</v>
      </c>
      <c r="I45" s="6">
        <v>3</v>
      </c>
      <c r="J45" s="6" t="s">
        <v>1159</v>
      </c>
      <c r="K45" s="6" t="s">
        <v>1160</v>
      </c>
      <c r="L45" s="6" t="s">
        <v>1054</v>
      </c>
      <c r="M45" s="6" t="s">
        <v>1187</v>
      </c>
      <c r="N45" s="6" t="s">
        <v>1162</v>
      </c>
      <c r="O45" s="6" t="s">
        <v>1188</v>
      </c>
      <c r="P45" s="6" t="s">
        <v>1164</v>
      </c>
      <c r="Q45" s="6" t="s">
        <v>1165</v>
      </c>
      <c r="R45" s="6" t="s">
        <v>1166</v>
      </c>
      <c r="S45" s="6" t="s">
        <v>1057</v>
      </c>
      <c r="T45" s="6" t="s">
        <v>1058</v>
      </c>
      <c r="U45" s="6">
        <v>0.83</v>
      </c>
      <c r="V45" s="6" t="s">
        <v>1059</v>
      </c>
      <c r="W45" s="6" t="s">
        <v>1057</v>
      </c>
      <c r="X45" s="12" t="str">
        <f>IF(V45="Approved","Yes","No")</f>
        <v>Yes</v>
      </c>
      <c r="Y45" s="6" t="s">
        <v>1060</v>
      </c>
      <c r="Z45" s="6" t="s">
        <v>1189</v>
      </c>
      <c r="AA45" s="6" t="s">
        <v>1062</v>
      </c>
    </row>
    <row r="46" spans="1:27" ht="45" customHeight="1">
      <c r="A46" s="4" t="s">
        <v>1190</v>
      </c>
      <c r="B46" s="4" t="s">
        <v>1039</v>
      </c>
      <c r="C46" s="4" t="s">
        <v>1158</v>
      </c>
      <c r="D46" s="4" t="s">
        <v>482</v>
      </c>
      <c r="E46" s="4" t="s">
        <v>487</v>
      </c>
      <c r="F46" s="4" t="s">
        <v>488</v>
      </c>
      <c r="G46" s="4" t="s">
        <v>572</v>
      </c>
      <c r="H46" s="4" t="s">
        <v>573</v>
      </c>
      <c r="I46" s="4">
        <v>3</v>
      </c>
      <c r="J46" s="4" t="s">
        <v>1159</v>
      </c>
      <c r="K46" s="4" t="s">
        <v>1160</v>
      </c>
      <c r="L46" s="4" t="s">
        <v>1054</v>
      </c>
      <c r="M46" s="4" t="s">
        <v>1191</v>
      </c>
      <c r="N46" s="4" t="s">
        <v>1162</v>
      </c>
      <c r="O46" s="4" t="s">
        <v>1163</v>
      </c>
      <c r="P46" s="4" t="s">
        <v>1164</v>
      </c>
      <c r="Q46" s="4" t="s">
        <v>1165</v>
      </c>
      <c r="R46" s="4" t="s">
        <v>1166</v>
      </c>
      <c r="S46" s="4" t="s">
        <v>1057</v>
      </c>
      <c r="T46" s="4" t="s">
        <v>1058</v>
      </c>
      <c r="U46" s="4">
        <v>0.76</v>
      </c>
      <c r="V46" s="4" t="s">
        <v>1059</v>
      </c>
      <c r="W46" s="4" t="s">
        <v>1057</v>
      </c>
      <c r="X46" s="11" t="str">
        <f>IF(V46="Approved","Yes","No")</f>
        <v>Yes</v>
      </c>
      <c r="Y46" s="4" t="s">
        <v>1060</v>
      </c>
      <c r="Z46" s="4" t="s">
        <v>1192</v>
      </c>
      <c r="AA46" s="4" t="s">
        <v>1062</v>
      </c>
    </row>
    <row r="47" spans="1:27" ht="45" customHeight="1">
      <c r="A47" s="6" t="s">
        <v>1193</v>
      </c>
      <c r="B47" s="6" t="s">
        <v>1039</v>
      </c>
      <c r="C47" s="6" t="s">
        <v>1158</v>
      </c>
      <c r="D47" s="6" t="s">
        <v>482</v>
      </c>
      <c r="E47" s="6" t="s">
        <v>487</v>
      </c>
      <c r="F47" s="6" t="s">
        <v>488</v>
      </c>
      <c r="G47" s="6" t="s">
        <v>579</v>
      </c>
      <c r="H47" s="6" t="s">
        <v>580</v>
      </c>
      <c r="I47" s="6">
        <v>3</v>
      </c>
      <c r="J47" s="6" t="s">
        <v>1159</v>
      </c>
      <c r="K47" s="6" t="s">
        <v>1160</v>
      </c>
      <c r="L47" s="6" t="s">
        <v>1054</v>
      </c>
      <c r="M47" s="6" t="s">
        <v>1194</v>
      </c>
      <c r="N47" s="6" t="s">
        <v>1162</v>
      </c>
      <c r="O47" s="6" t="s">
        <v>1172</v>
      </c>
      <c r="P47" s="6" t="s">
        <v>1164</v>
      </c>
      <c r="Q47" s="6" t="s">
        <v>1165</v>
      </c>
      <c r="R47" s="6" t="s">
        <v>1166</v>
      </c>
      <c r="S47" s="6" t="s">
        <v>1057</v>
      </c>
      <c r="T47" s="6" t="s">
        <v>1058</v>
      </c>
      <c r="U47" s="6">
        <v>0.83</v>
      </c>
      <c r="V47" s="6" t="s">
        <v>1167</v>
      </c>
      <c r="W47" s="6" t="s">
        <v>1168</v>
      </c>
      <c r="X47" s="12" t="str">
        <f>IF(V47="Approved","Yes","No")</f>
        <v>No</v>
      </c>
      <c r="Y47" s="6" t="s">
        <v>1060</v>
      </c>
      <c r="Z47" s="6" t="s">
        <v>1195</v>
      </c>
      <c r="AA47" s="6" t="s">
        <v>1062</v>
      </c>
    </row>
    <row r="48" spans="1:27" ht="45" customHeight="1">
      <c r="A48" s="4" t="s">
        <v>1196</v>
      </c>
      <c r="B48" s="4" t="s">
        <v>1039</v>
      </c>
      <c r="C48" s="4" t="s">
        <v>1158</v>
      </c>
      <c r="D48" s="4" t="s">
        <v>482</v>
      </c>
      <c r="E48" s="4" t="s">
        <v>487</v>
      </c>
      <c r="F48" s="4" t="s">
        <v>488</v>
      </c>
      <c r="G48" s="4" t="s">
        <v>586</v>
      </c>
      <c r="H48" s="4" t="s">
        <v>587</v>
      </c>
      <c r="I48" s="4">
        <v>3</v>
      </c>
      <c r="J48" s="4" t="s">
        <v>1159</v>
      </c>
      <c r="K48" s="4" t="s">
        <v>1160</v>
      </c>
      <c r="L48" s="4" t="s">
        <v>1054</v>
      </c>
      <c r="M48" s="4" t="s">
        <v>1197</v>
      </c>
      <c r="N48" s="4" t="s">
        <v>1162</v>
      </c>
      <c r="O48" s="4" t="s">
        <v>1198</v>
      </c>
      <c r="P48" s="4" t="s">
        <v>1164</v>
      </c>
      <c r="Q48" s="4" t="s">
        <v>1165</v>
      </c>
      <c r="R48" s="4" t="s">
        <v>1166</v>
      </c>
      <c r="S48" s="4" t="s">
        <v>1057</v>
      </c>
      <c r="T48" s="4" t="s">
        <v>1058</v>
      </c>
      <c r="U48" s="4">
        <v>0.84</v>
      </c>
      <c r="V48" s="4" t="s">
        <v>1059</v>
      </c>
      <c r="W48" s="4" t="s">
        <v>1057</v>
      </c>
      <c r="X48" s="11" t="str">
        <f>IF(V48="Approved","Yes","No")</f>
        <v>Yes</v>
      </c>
      <c r="Y48" s="4" t="s">
        <v>1060</v>
      </c>
      <c r="Z48" s="4" t="s">
        <v>1199</v>
      </c>
      <c r="AA48" s="4" t="s">
        <v>1062</v>
      </c>
    </row>
    <row r="49" spans="1:27" ht="45" customHeight="1">
      <c r="A49" s="6" t="s">
        <v>1200</v>
      </c>
      <c r="B49" s="6" t="s">
        <v>1039</v>
      </c>
      <c r="C49" s="6" t="s">
        <v>1158</v>
      </c>
      <c r="D49" s="6" t="s">
        <v>482</v>
      </c>
      <c r="E49" s="6" t="s">
        <v>487</v>
      </c>
      <c r="F49" s="6" t="s">
        <v>488</v>
      </c>
      <c r="G49" s="6" t="s">
        <v>600</v>
      </c>
      <c r="H49" s="6" t="s">
        <v>601</v>
      </c>
      <c r="I49" s="6">
        <v>3</v>
      </c>
      <c r="J49" s="6" t="s">
        <v>1159</v>
      </c>
      <c r="K49" s="6" t="s">
        <v>1160</v>
      </c>
      <c r="L49" s="6" t="s">
        <v>1054</v>
      </c>
      <c r="M49" s="6" t="s">
        <v>1201</v>
      </c>
      <c r="N49" s="6" t="s">
        <v>1162</v>
      </c>
      <c r="O49" s="6" t="s">
        <v>1176</v>
      </c>
      <c r="P49" s="6" t="s">
        <v>1164</v>
      </c>
      <c r="Q49" s="6" t="s">
        <v>1165</v>
      </c>
      <c r="R49" s="6" t="s">
        <v>1166</v>
      </c>
      <c r="S49" s="6" t="s">
        <v>1057</v>
      </c>
      <c r="T49" s="6" t="s">
        <v>1058</v>
      </c>
      <c r="U49" s="6">
        <v>0.72</v>
      </c>
      <c r="V49" s="6" t="s">
        <v>1167</v>
      </c>
      <c r="W49" s="6" t="s">
        <v>1168</v>
      </c>
      <c r="X49" s="12" t="str">
        <f>IF(V49="Approved","Yes","No")</f>
        <v>No</v>
      </c>
      <c r="Y49" s="6" t="s">
        <v>1060</v>
      </c>
      <c r="Z49" s="6" t="s">
        <v>1202</v>
      </c>
      <c r="AA49" s="6" t="s">
        <v>1062</v>
      </c>
    </row>
    <row r="50" spans="1:27" ht="45" customHeight="1">
      <c r="A50" s="4" t="s">
        <v>1203</v>
      </c>
      <c r="B50" s="4" t="s">
        <v>1039</v>
      </c>
      <c r="C50" s="4" t="s">
        <v>1158</v>
      </c>
      <c r="D50" s="4" t="s">
        <v>482</v>
      </c>
      <c r="E50" s="4" t="s">
        <v>487</v>
      </c>
      <c r="F50" s="4" t="s">
        <v>488</v>
      </c>
      <c r="G50" s="4" t="s">
        <v>607</v>
      </c>
      <c r="H50" s="4" t="s">
        <v>608</v>
      </c>
      <c r="I50" s="4">
        <v>3</v>
      </c>
      <c r="J50" s="4" t="s">
        <v>1159</v>
      </c>
      <c r="K50" s="4" t="s">
        <v>1160</v>
      </c>
      <c r="L50" s="4" t="s">
        <v>1054</v>
      </c>
      <c r="M50" s="4" t="s">
        <v>1204</v>
      </c>
      <c r="N50" s="4" t="s">
        <v>1162</v>
      </c>
      <c r="O50" s="4" t="s">
        <v>1205</v>
      </c>
      <c r="P50" s="4" t="s">
        <v>1164</v>
      </c>
      <c r="Q50" s="4" t="s">
        <v>1165</v>
      </c>
      <c r="R50" s="4" t="s">
        <v>1166</v>
      </c>
      <c r="S50" s="4" t="s">
        <v>1057</v>
      </c>
      <c r="T50" s="4" t="s">
        <v>1058</v>
      </c>
      <c r="U50" s="4">
        <v>0.87</v>
      </c>
      <c r="V50" s="4" t="s">
        <v>1167</v>
      </c>
      <c r="W50" s="4" t="s">
        <v>1168</v>
      </c>
      <c r="X50" s="11" t="str">
        <f>IF(V50="Approved","Yes","No")</f>
        <v>No</v>
      </c>
      <c r="Y50" s="4" t="s">
        <v>1060</v>
      </c>
      <c r="Z50" s="4" t="s">
        <v>1206</v>
      </c>
      <c r="AA50" s="4" t="s">
        <v>1062</v>
      </c>
    </row>
    <row r="51" spans="1:27" ht="45" customHeight="1">
      <c r="A51" s="6" t="s">
        <v>1207</v>
      </c>
      <c r="B51" s="6" t="s">
        <v>1039</v>
      </c>
      <c r="C51" s="6" t="s">
        <v>1158</v>
      </c>
      <c r="D51" s="6" t="s">
        <v>482</v>
      </c>
      <c r="E51" s="6" t="s">
        <v>487</v>
      </c>
      <c r="F51" s="6" t="s">
        <v>488</v>
      </c>
      <c r="G51" s="6" t="s">
        <v>614</v>
      </c>
      <c r="H51" s="6" t="s">
        <v>615</v>
      </c>
      <c r="I51" s="6">
        <v>3</v>
      </c>
      <c r="J51" s="6" t="s">
        <v>1159</v>
      </c>
      <c r="K51" s="6" t="s">
        <v>1160</v>
      </c>
      <c r="L51" s="6" t="s">
        <v>1054</v>
      </c>
      <c r="M51" s="6" t="s">
        <v>1208</v>
      </c>
      <c r="N51" s="6" t="s">
        <v>1162</v>
      </c>
      <c r="O51" s="6" t="s">
        <v>1180</v>
      </c>
      <c r="P51" s="6" t="s">
        <v>1164</v>
      </c>
      <c r="Q51" s="6" t="s">
        <v>1165</v>
      </c>
      <c r="R51" s="6" t="s">
        <v>1166</v>
      </c>
      <c r="S51" s="6" t="s">
        <v>1057</v>
      </c>
      <c r="T51" s="6" t="s">
        <v>1058</v>
      </c>
      <c r="U51" s="6">
        <v>0.75</v>
      </c>
      <c r="V51" s="6" t="s">
        <v>1059</v>
      </c>
      <c r="W51" s="6" t="s">
        <v>1057</v>
      </c>
      <c r="X51" s="12" t="str">
        <f>IF(V51="Approved","Yes","No")</f>
        <v>Yes</v>
      </c>
      <c r="Y51" s="6" t="s">
        <v>1060</v>
      </c>
      <c r="Z51" s="6" t="s">
        <v>1209</v>
      </c>
      <c r="AA51" s="6" t="s">
        <v>1062</v>
      </c>
    </row>
    <row r="52" spans="1:27" ht="45" customHeight="1">
      <c r="A52" s="4" t="s">
        <v>1210</v>
      </c>
      <c r="B52" s="4" t="s">
        <v>1039</v>
      </c>
      <c r="C52" s="4" t="s">
        <v>1158</v>
      </c>
      <c r="D52" s="4" t="s">
        <v>482</v>
      </c>
      <c r="E52" s="4" t="s">
        <v>487</v>
      </c>
      <c r="F52" s="4" t="s">
        <v>488</v>
      </c>
      <c r="G52" s="4" t="s">
        <v>621</v>
      </c>
      <c r="H52" s="4" t="s">
        <v>622</v>
      </c>
      <c r="I52" s="4">
        <v>3</v>
      </c>
      <c r="J52" s="4" t="s">
        <v>1159</v>
      </c>
      <c r="K52" s="4" t="s">
        <v>1160</v>
      </c>
      <c r="L52" s="4" t="s">
        <v>1054</v>
      </c>
      <c r="M52" s="4" t="s">
        <v>1211</v>
      </c>
      <c r="N52" s="4" t="s">
        <v>1162</v>
      </c>
      <c r="O52" s="4" t="s">
        <v>1212</v>
      </c>
      <c r="P52" s="4" t="s">
        <v>1164</v>
      </c>
      <c r="Q52" s="4" t="s">
        <v>1165</v>
      </c>
      <c r="R52" s="4" t="s">
        <v>1166</v>
      </c>
      <c r="S52" s="4" t="s">
        <v>1168</v>
      </c>
      <c r="T52" s="4" t="s">
        <v>1058</v>
      </c>
      <c r="U52" s="4">
        <v>0.79</v>
      </c>
      <c r="V52" s="4" t="s">
        <v>1213</v>
      </c>
      <c r="W52" s="4" t="s">
        <v>1168</v>
      </c>
      <c r="X52" s="11" t="str">
        <f>IF(V52="Approved","Yes","No")</f>
        <v>No</v>
      </c>
      <c r="Y52" s="4" t="s">
        <v>1060</v>
      </c>
      <c r="Z52" s="4" t="s">
        <v>1214</v>
      </c>
      <c r="AA52" s="4" t="s">
        <v>1062</v>
      </c>
    </row>
    <row r="53" spans="1:27" ht="45" customHeight="1">
      <c r="A53" s="6" t="s">
        <v>1215</v>
      </c>
      <c r="B53" s="6" t="s">
        <v>1039</v>
      </c>
      <c r="C53" s="6" t="s">
        <v>1158</v>
      </c>
      <c r="D53" s="6" t="s">
        <v>482</v>
      </c>
      <c r="E53" s="6" t="s">
        <v>487</v>
      </c>
      <c r="F53" s="6" t="s">
        <v>488</v>
      </c>
      <c r="G53" s="6" t="s">
        <v>628</v>
      </c>
      <c r="H53" s="6" t="s">
        <v>629</v>
      </c>
      <c r="I53" s="6">
        <v>3</v>
      </c>
      <c r="J53" s="6" t="s">
        <v>1159</v>
      </c>
      <c r="K53" s="6" t="s">
        <v>1160</v>
      </c>
      <c r="L53" s="6" t="s">
        <v>1054</v>
      </c>
      <c r="M53" s="6" t="s">
        <v>1216</v>
      </c>
      <c r="N53" s="6" t="s">
        <v>1162</v>
      </c>
      <c r="O53" s="6" t="s">
        <v>1184</v>
      </c>
      <c r="P53" s="6" t="s">
        <v>1164</v>
      </c>
      <c r="Q53" s="6" t="s">
        <v>1165</v>
      </c>
      <c r="R53" s="6" t="s">
        <v>1166</v>
      </c>
      <c r="S53" s="6" t="s">
        <v>1057</v>
      </c>
      <c r="T53" s="6" t="s">
        <v>1058</v>
      </c>
      <c r="U53" s="6">
        <v>0.74</v>
      </c>
      <c r="V53" s="6" t="s">
        <v>1059</v>
      </c>
      <c r="W53" s="6" t="s">
        <v>1057</v>
      </c>
      <c r="X53" s="12" t="str">
        <f>IF(V53="Approved","Yes","No")</f>
        <v>Yes</v>
      </c>
      <c r="Y53" s="6" t="s">
        <v>1060</v>
      </c>
      <c r="Z53" s="6" t="s">
        <v>1217</v>
      </c>
      <c r="AA53" s="6" t="s">
        <v>1062</v>
      </c>
    </row>
    <row r="54" spans="1:27" ht="45" customHeight="1">
      <c r="A54" s="4" t="s">
        <v>1218</v>
      </c>
      <c r="B54" s="4" t="s">
        <v>1039</v>
      </c>
      <c r="C54" s="4" t="s">
        <v>1158</v>
      </c>
      <c r="D54" s="4" t="s">
        <v>482</v>
      </c>
      <c r="E54" s="4" t="s">
        <v>487</v>
      </c>
      <c r="F54" s="4" t="s">
        <v>488</v>
      </c>
      <c r="G54" s="4" t="s">
        <v>636</v>
      </c>
      <c r="H54" s="4" t="s">
        <v>637</v>
      </c>
      <c r="I54" s="4">
        <v>3</v>
      </c>
      <c r="J54" s="4" t="s">
        <v>1159</v>
      </c>
      <c r="K54" s="4" t="s">
        <v>1160</v>
      </c>
      <c r="L54" s="4" t="s">
        <v>1054</v>
      </c>
      <c r="M54" s="4" t="s">
        <v>1219</v>
      </c>
      <c r="N54" s="4" t="s">
        <v>1162</v>
      </c>
      <c r="O54" s="4" t="s">
        <v>1220</v>
      </c>
      <c r="P54" s="4" t="s">
        <v>1164</v>
      </c>
      <c r="Q54" s="4" t="s">
        <v>1165</v>
      </c>
      <c r="R54" s="4" t="s">
        <v>1166</v>
      </c>
      <c r="S54" s="4" t="s">
        <v>1057</v>
      </c>
      <c r="T54" s="4" t="s">
        <v>1058</v>
      </c>
      <c r="U54" s="4">
        <v>0.85</v>
      </c>
      <c r="V54" s="4" t="s">
        <v>1167</v>
      </c>
      <c r="W54" s="4" t="s">
        <v>1168</v>
      </c>
      <c r="X54" s="11" t="str">
        <f>IF(V54="Approved","Yes","No")</f>
        <v>No</v>
      </c>
      <c r="Y54" s="4" t="s">
        <v>1060</v>
      </c>
      <c r="Z54" s="4" t="s">
        <v>1221</v>
      </c>
      <c r="AA54" s="4" t="s">
        <v>1062</v>
      </c>
    </row>
    <row r="55" spans="1:27" ht="45" customHeight="1">
      <c r="A55" s="6" t="s">
        <v>1222</v>
      </c>
      <c r="B55" s="6" t="s">
        <v>1041</v>
      </c>
      <c r="C55" s="6" t="s">
        <v>1158</v>
      </c>
      <c r="D55" s="6" t="s">
        <v>482</v>
      </c>
      <c r="E55" s="6" t="s">
        <v>490</v>
      </c>
      <c r="F55" s="6" t="s">
        <v>491</v>
      </c>
      <c r="G55" s="6" t="s">
        <v>628</v>
      </c>
      <c r="H55" s="6" t="s">
        <v>629</v>
      </c>
      <c r="I55" s="6">
        <v>3</v>
      </c>
      <c r="J55" s="6" t="s">
        <v>1159</v>
      </c>
      <c r="K55" s="6" t="s">
        <v>1160</v>
      </c>
      <c r="L55" s="6" t="s">
        <v>1054</v>
      </c>
      <c r="M55" s="6" t="s">
        <v>1223</v>
      </c>
      <c r="N55" s="6" t="s">
        <v>1162</v>
      </c>
      <c r="O55" s="6" t="s">
        <v>1184</v>
      </c>
      <c r="P55" s="6" t="s">
        <v>1164</v>
      </c>
      <c r="Q55" s="6" t="s">
        <v>1165</v>
      </c>
      <c r="R55" s="6" t="s">
        <v>1166</v>
      </c>
      <c r="S55" s="6" t="s">
        <v>1057</v>
      </c>
      <c r="T55" s="6" t="s">
        <v>1058</v>
      </c>
      <c r="U55" s="6">
        <v>0.87</v>
      </c>
      <c r="V55" s="6" t="s">
        <v>1167</v>
      </c>
      <c r="W55" s="6" t="s">
        <v>1168</v>
      </c>
      <c r="X55" s="12" t="str">
        <f>IF(V55="Approved","Yes","No")</f>
        <v>No</v>
      </c>
      <c r="Y55" s="6" t="s">
        <v>1060</v>
      </c>
      <c r="Z55" s="6" t="s">
        <v>1224</v>
      </c>
      <c r="AA55" s="6" t="s">
        <v>1062</v>
      </c>
    </row>
    <row r="56" spans="1:27" ht="45" customHeight="1">
      <c r="A56" s="4" t="s">
        <v>1225</v>
      </c>
      <c r="B56" s="4" t="s">
        <v>1041</v>
      </c>
      <c r="C56" s="4" t="s">
        <v>1158</v>
      </c>
      <c r="D56" s="4" t="s">
        <v>482</v>
      </c>
      <c r="E56" s="4" t="s">
        <v>490</v>
      </c>
      <c r="F56" s="4" t="s">
        <v>491</v>
      </c>
      <c r="G56" s="4" t="s">
        <v>657</v>
      </c>
      <c r="H56" s="4" t="s">
        <v>658</v>
      </c>
      <c r="I56" s="4">
        <v>3</v>
      </c>
      <c r="J56" s="4" t="s">
        <v>1159</v>
      </c>
      <c r="K56" s="4" t="s">
        <v>1160</v>
      </c>
      <c r="L56" s="4" t="s">
        <v>1054</v>
      </c>
      <c r="M56" s="4" t="s">
        <v>1226</v>
      </c>
      <c r="N56" s="4" t="s">
        <v>1162</v>
      </c>
      <c r="O56" s="4" t="s">
        <v>1227</v>
      </c>
      <c r="P56" s="4" t="s">
        <v>1164</v>
      </c>
      <c r="Q56" s="4" t="s">
        <v>1165</v>
      </c>
      <c r="R56" s="4" t="s">
        <v>1166</v>
      </c>
      <c r="S56" s="4" t="s">
        <v>1057</v>
      </c>
      <c r="T56" s="4" t="s">
        <v>1058</v>
      </c>
      <c r="U56" s="4">
        <v>0.92</v>
      </c>
      <c r="V56" s="4" t="s">
        <v>1167</v>
      </c>
      <c r="W56" s="4" t="s">
        <v>1168</v>
      </c>
      <c r="X56" s="11" t="str">
        <f>IF(V56="Approved","Yes","No")</f>
        <v>No</v>
      </c>
      <c r="Y56" s="4" t="s">
        <v>1060</v>
      </c>
      <c r="Z56" s="4" t="s">
        <v>1228</v>
      </c>
      <c r="AA56" s="4" t="s">
        <v>1062</v>
      </c>
    </row>
    <row r="57" spans="1:27" ht="45" customHeight="1">
      <c r="A57" s="6" t="s">
        <v>1229</v>
      </c>
      <c r="B57" s="6" t="s">
        <v>1041</v>
      </c>
      <c r="C57" s="6" t="s">
        <v>1158</v>
      </c>
      <c r="D57" s="6" t="s">
        <v>482</v>
      </c>
      <c r="E57" s="6" t="s">
        <v>490</v>
      </c>
      <c r="F57" s="6" t="s">
        <v>491</v>
      </c>
      <c r="G57" s="6" t="s">
        <v>664</v>
      </c>
      <c r="H57" s="6" t="s">
        <v>665</v>
      </c>
      <c r="I57" s="6">
        <v>3</v>
      </c>
      <c r="J57" s="6" t="s">
        <v>1159</v>
      </c>
      <c r="K57" s="6" t="s">
        <v>1160</v>
      </c>
      <c r="L57" s="6" t="s">
        <v>1054</v>
      </c>
      <c r="M57" s="6" t="s">
        <v>1230</v>
      </c>
      <c r="N57" s="6" t="s">
        <v>1162</v>
      </c>
      <c r="O57" s="6" t="s">
        <v>1231</v>
      </c>
      <c r="P57" s="6" t="s">
        <v>1164</v>
      </c>
      <c r="Q57" s="6" t="s">
        <v>1165</v>
      </c>
      <c r="R57" s="6" t="s">
        <v>1166</v>
      </c>
      <c r="S57" s="6" t="s">
        <v>1057</v>
      </c>
      <c r="T57" s="6" t="s">
        <v>1058</v>
      </c>
      <c r="U57" s="6">
        <v>0.84</v>
      </c>
      <c r="V57" s="6" t="s">
        <v>1059</v>
      </c>
      <c r="W57" s="6" t="s">
        <v>1057</v>
      </c>
      <c r="X57" s="12" t="str">
        <f>IF(V57="Approved","Yes","No")</f>
        <v>Yes</v>
      </c>
      <c r="Y57" s="6" t="s">
        <v>1060</v>
      </c>
      <c r="Z57" s="6" t="s">
        <v>1232</v>
      </c>
      <c r="AA57" s="6" t="s">
        <v>1062</v>
      </c>
    </row>
    <row r="58" spans="1:27" ht="45" customHeight="1">
      <c r="A58" s="4" t="s">
        <v>1233</v>
      </c>
      <c r="B58" s="4" t="s">
        <v>1041</v>
      </c>
      <c r="C58" s="4" t="s">
        <v>1158</v>
      </c>
      <c r="D58" s="4" t="s">
        <v>482</v>
      </c>
      <c r="E58" s="4" t="s">
        <v>490</v>
      </c>
      <c r="F58" s="4" t="s">
        <v>491</v>
      </c>
      <c r="G58" s="4" t="s">
        <v>671</v>
      </c>
      <c r="H58" s="4" t="s">
        <v>672</v>
      </c>
      <c r="I58" s="4">
        <v>3</v>
      </c>
      <c r="J58" s="4" t="s">
        <v>1159</v>
      </c>
      <c r="K58" s="4" t="s">
        <v>1160</v>
      </c>
      <c r="L58" s="4" t="s">
        <v>1054</v>
      </c>
      <c r="M58" s="4" t="s">
        <v>1234</v>
      </c>
      <c r="N58" s="4" t="s">
        <v>1162</v>
      </c>
      <c r="O58" s="4" t="s">
        <v>1235</v>
      </c>
      <c r="P58" s="4" t="s">
        <v>1164</v>
      </c>
      <c r="Q58" s="4" t="s">
        <v>1165</v>
      </c>
      <c r="R58" s="4" t="s">
        <v>1166</v>
      </c>
      <c r="S58" s="4" t="s">
        <v>1057</v>
      </c>
      <c r="T58" s="4" t="s">
        <v>1058</v>
      </c>
      <c r="U58" s="4">
        <v>0.85</v>
      </c>
      <c r="V58" s="4" t="s">
        <v>1167</v>
      </c>
      <c r="W58" s="4" t="s">
        <v>1168</v>
      </c>
      <c r="X58" s="11" t="str">
        <f>IF(V58="Approved","Yes","No")</f>
        <v>No</v>
      </c>
      <c r="Y58" s="4" t="s">
        <v>1060</v>
      </c>
      <c r="Z58" s="4" t="s">
        <v>1236</v>
      </c>
      <c r="AA58" s="4" t="s">
        <v>1062</v>
      </c>
    </row>
    <row r="59" spans="1:27" ht="45" customHeight="1">
      <c r="A59" s="6" t="s">
        <v>1237</v>
      </c>
      <c r="B59" s="6" t="s">
        <v>1045</v>
      </c>
      <c r="C59" s="6" t="s">
        <v>1158</v>
      </c>
      <c r="D59" s="6" t="s">
        <v>493</v>
      </c>
      <c r="E59" s="6" t="s">
        <v>497</v>
      </c>
      <c r="F59" s="6" t="s">
        <v>498</v>
      </c>
      <c r="G59" s="6" t="s">
        <v>678</v>
      </c>
      <c r="H59" s="6" t="s">
        <v>564</v>
      </c>
      <c r="I59" s="6">
        <v>4</v>
      </c>
      <c r="J59" s="6" t="s">
        <v>1159</v>
      </c>
      <c r="K59" s="6" t="s">
        <v>1160</v>
      </c>
      <c r="L59" s="6" t="s">
        <v>1054</v>
      </c>
      <c r="M59" s="6" t="s">
        <v>1238</v>
      </c>
      <c r="N59" s="6" t="s">
        <v>1162</v>
      </c>
      <c r="O59" s="6" t="s">
        <v>1188</v>
      </c>
      <c r="P59" s="6" t="s">
        <v>1164</v>
      </c>
      <c r="Q59" s="6" t="s">
        <v>1165</v>
      </c>
      <c r="R59" s="6" t="s">
        <v>1166</v>
      </c>
      <c r="S59" s="6" t="s">
        <v>1057</v>
      </c>
      <c r="T59" s="6" t="s">
        <v>764</v>
      </c>
      <c r="U59" s="6">
        <v>0.84</v>
      </c>
      <c r="V59" s="6" t="s">
        <v>1167</v>
      </c>
      <c r="W59" s="6" t="s">
        <v>1168</v>
      </c>
      <c r="X59" s="12" t="str">
        <f>IF(V59="Approved","Yes","No")</f>
        <v>No</v>
      </c>
      <c r="Y59" s="6" t="s">
        <v>1060</v>
      </c>
      <c r="Z59" s="6" t="s">
        <v>1239</v>
      </c>
      <c r="AA59" s="6" t="s">
        <v>1062</v>
      </c>
    </row>
    <row r="60" spans="1:27" ht="45" customHeight="1">
      <c r="A60" s="4" t="s">
        <v>1240</v>
      </c>
      <c r="B60" s="4" t="s">
        <v>1045</v>
      </c>
      <c r="C60" s="4" t="s">
        <v>1158</v>
      </c>
      <c r="D60" s="4" t="s">
        <v>493</v>
      </c>
      <c r="E60" s="4" t="s">
        <v>497</v>
      </c>
      <c r="F60" s="4" t="s">
        <v>498</v>
      </c>
      <c r="G60" s="4" t="s">
        <v>683</v>
      </c>
      <c r="H60" s="4" t="s">
        <v>684</v>
      </c>
      <c r="I60" s="4">
        <v>4</v>
      </c>
      <c r="J60" s="4" t="s">
        <v>1159</v>
      </c>
      <c r="K60" s="4" t="s">
        <v>1160</v>
      </c>
      <c r="L60" s="4" t="s">
        <v>1054</v>
      </c>
      <c r="M60" s="4" t="s">
        <v>1241</v>
      </c>
      <c r="N60" s="4" t="s">
        <v>1162</v>
      </c>
      <c r="O60" s="4" t="s">
        <v>1242</v>
      </c>
      <c r="P60" s="4" t="s">
        <v>1164</v>
      </c>
      <c r="Q60" s="4" t="s">
        <v>1165</v>
      </c>
      <c r="R60" s="4" t="s">
        <v>1166</v>
      </c>
      <c r="S60" s="4" t="s">
        <v>1057</v>
      </c>
      <c r="T60" s="4" t="s">
        <v>764</v>
      </c>
      <c r="U60" s="4">
        <v>0.73</v>
      </c>
      <c r="V60" s="4" t="s">
        <v>1167</v>
      </c>
      <c r="W60" s="4" t="s">
        <v>1168</v>
      </c>
      <c r="X60" s="11" t="str">
        <f>IF(V60="Approved","Yes","No")</f>
        <v>No</v>
      </c>
      <c r="Y60" s="4" t="s">
        <v>1060</v>
      </c>
      <c r="Z60" s="4" t="s">
        <v>1243</v>
      </c>
      <c r="AA60" s="4" t="s">
        <v>1062</v>
      </c>
    </row>
    <row r="61" spans="1:27" ht="45" customHeight="1">
      <c r="A61" s="6" t="s">
        <v>1244</v>
      </c>
      <c r="B61" s="6" t="s">
        <v>1045</v>
      </c>
      <c r="C61" s="6" t="s">
        <v>1158</v>
      </c>
      <c r="D61" s="6" t="s">
        <v>493</v>
      </c>
      <c r="E61" s="6" t="s">
        <v>497</v>
      </c>
      <c r="F61" s="6" t="s">
        <v>498</v>
      </c>
      <c r="G61" s="6" t="s">
        <v>690</v>
      </c>
      <c r="H61" s="6" t="s">
        <v>691</v>
      </c>
      <c r="I61" s="6">
        <v>4</v>
      </c>
      <c r="J61" s="6" t="s">
        <v>1159</v>
      </c>
      <c r="K61" s="6" t="s">
        <v>1160</v>
      </c>
      <c r="L61" s="6" t="s">
        <v>1054</v>
      </c>
      <c r="M61" s="6" t="s">
        <v>1245</v>
      </c>
      <c r="N61" s="6" t="s">
        <v>1162</v>
      </c>
      <c r="O61" s="6" t="s">
        <v>1246</v>
      </c>
      <c r="P61" s="6" t="s">
        <v>1164</v>
      </c>
      <c r="Q61" s="6" t="s">
        <v>1165</v>
      </c>
      <c r="R61" s="6" t="s">
        <v>1166</v>
      </c>
      <c r="S61" s="6" t="s">
        <v>1057</v>
      </c>
      <c r="T61" s="6" t="s">
        <v>764</v>
      </c>
      <c r="U61" s="6">
        <v>0.78</v>
      </c>
      <c r="V61" s="6" t="s">
        <v>1059</v>
      </c>
      <c r="W61" s="6" t="s">
        <v>1057</v>
      </c>
      <c r="X61" s="12" t="str">
        <f>IF(V61="Approved","Yes","No")</f>
        <v>Yes</v>
      </c>
      <c r="Y61" s="6" t="s">
        <v>1060</v>
      </c>
      <c r="Z61" s="6" t="s">
        <v>1247</v>
      </c>
      <c r="AA61" s="6" t="s">
        <v>1062</v>
      </c>
    </row>
    <row r="62" spans="1:27" ht="45" customHeight="1">
      <c r="A62" s="4" t="s">
        <v>1248</v>
      </c>
      <c r="B62" s="4" t="s">
        <v>1045</v>
      </c>
      <c r="C62" s="4" t="s">
        <v>1158</v>
      </c>
      <c r="D62" s="4" t="s">
        <v>493</v>
      </c>
      <c r="E62" s="4" t="s">
        <v>497</v>
      </c>
      <c r="F62" s="4" t="s">
        <v>498</v>
      </c>
      <c r="G62" s="4" t="s">
        <v>697</v>
      </c>
      <c r="H62" s="4" t="s">
        <v>698</v>
      </c>
      <c r="I62" s="4">
        <v>4</v>
      </c>
      <c r="J62" s="4" t="s">
        <v>1159</v>
      </c>
      <c r="K62" s="4" t="s">
        <v>1160</v>
      </c>
      <c r="L62" s="4" t="s">
        <v>1054</v>
      </c>
      <c r="M62" s="4" t="s">
        <v>1249</v>
      </c>
      <c r="N62" s="4" t="s">
        <v>1162</v>
      </c>
      <c r="O62" s="4" t="s">
        <v>1250</v>
      </c>
      <c r="P62" s="4" t="s">
        <v>1164</v>
      </c>
      <c r="Q62" s="4" t="s">
        <v>1165</v>
      </c>
      <c r="R62" s="4" t="s">
        <v>1166</v>
      </c>
      <c r="S62" s="4" t="s">
        <v>1057</v>
      </c>
      <c r="T62" s="4" t="s">
        <v>764</v>
      </c>
      <c r="U62" s="4">
        <v>0.77</v>
      </c>
      <c r="V62" s="4" t="s">
        <v>1059</v>
      </c>
      <c r="W62" s="4" t="s">
        <v>1057</v>
      </c>
      <c r="X62" s="11" t="str">
        <f>IF(V62="Approved","Yes","No")</f>
        <v>Yes</v>
      </c>
      <c r="Y62" s="4" t="s">
        <v>1060</v>
      </c>
      <c r="Z62" s="4" t="s">
        <v>1251</v>
      </c>
      <c r="AA62" s="4" t="s">
        <v>1062</v>
      </c>
    </row>
    <row r="63" spans="1:27" ht="45" customHeight="1">
      <c r="A63" s="6" t="s">
        <v>1252</v>
      </c>
      <c r="B63" s="6" t="s">
        <v>1045</v>
      </c>
      <c r="C63" s="6" t="s">
        <v>1158</v>
      </c>
      <c r="D63" s="6" t="s">
        <v>493</v>
      </c>
      <c r="E63" s="6" t="s">
        <v>497</v>
      </c>
      <c r="F63" s="6" t="s">
        <v>498</v>
      </c>
      <c r="G63" s="6" t="s">
        <v>704</v>
      </c>
      <c r="H63" s="6" t="s">
        <v>705</v>
      </c>
      <c r="I63" s="6">
        <v>4</v>
      </c>
      <c r="J63" s="6" t="s">
        <v>1159</v>
      </c>
      <c r="K63" s="6" t="s">
        <v>1160</v>
      </c>
      <c r="L63" s="6" t="s">
        <v>1054</v>
      </c>
      <c r="M63" s="6" t="s">
        <v>1253</v>
      </c>
      <c r="N63" s="6" t="s">
        <v>1162</v>
      </c>
      <c r="O63" s="6" t="s">
        <v>1254</v>
      </c>
      <c r="P63" s="6" t="s">
        <v>1164</v>
      </c>
      <c r="Q63" s="6" t="s">
        <v>1165</v>
      </c>
      <c r="R63" s="6" t="s">
        <v>1166</v>
      </c>
      <c r="S63" s="6" t="s">
        <v>1168</v>
      </c>
      <c r="T63" s="6" t="s">
        <v>764</v>
      </c>
      <c r="U63" s="6">
        <v>0.78</v>
      </c>
      <c r="V63" s="6" t="s">
        <v>1059</v>
      </c>
      <c r="W63" s="6" t="s">
        <v>1057</v>
      </c>
      <c r="X63" s="12" t="str">
        <f>IF(V63="Approved","Yes","No")</f>
        <v>Yes</v>
      </c>
      <c r="Y63" s="6" t="s">
        <v>1060</v>
      </c>
      <c r="Z63" s="6" t="s">
        <v>1255</v>
      </c>
      <c r="AA63" s="6" t="s">
        <v>1062</v>
      </c>
    </row>
    <row r="64" spans="1:27" ht="45" customHeight="1">
      <c r="A64" s="4" t="s">
        <v>1256</v>
      </c>
      <c r="B64" s="4" t="s">
        <v>1045</v>
      </c>
      <c r="C64" s="4" t="s">
        <v>1158</v>
      </c>
      <c r="D64" s="4" t="s">
        <v>493</v>
      </c>
      <c r="E64" s="4" t="s">
        <v>497</v>
      </c>
      <c r="F64" s="4" t="s">
        <v>498</v>
      </c>
      <c r="G64" s="4" t="s">
        <v>711</v>
      </c>
      <c r="H64" s="4" t="s">
        <v>712</v>
      </c>
      <c r="I64" s="4">
        <v>4</v>
      </c>
      <c r="J64" s="4" t="s">
        <v>1159</v>
      </c>
      <c r="K64" s="4" t="s">
        <v>1160</v>
      </c>
      <c r="L64" s="4" t="s">
        <v>1054</v>
      </c>
      <c r="M64" s="4" t="s">
        <v>1257</v>
      </c>
      <c r="N64" s="4" t="s">
        <v>1162</v>
      </c>
      <c r="O64" s="4" t="s">
        <v>1258</v>
      </c>
      <c r="P64" s="4" t="s">
        <v>1164</v>
      </c>
      <c r="Q64" s="4" t="s">
        <v>1165</v>
      </c>
      <c r="R64" s="4" t="s">
        <v>1166</v>
      </c>
      <c r="S64" s="4" t="s">
        <v>1057</v>
      </c>
      <c r="T64" s="4" t="s">
        <v>764</v>
      </c>
      <c r="U64" s="4">
        <v>0.8</v>
      </c>
      <c r="V64" s="4" t="s">
        <v>1167</v>
      </c>
      <c r="W64" s="4" t="s">
        <v>1168</v>
      </c>
      <c r="X64" s="11" t="str">
        <f>IF(V64="Approved","Yes","No")</f>
        <v>No</v>
      </c>
      <c r="Y64" s="4" t="s">
        <v>1060</v>
      </c>
      <c r="Z64" s="4" t="s">
        <v>1259</v>
      </c>
      <c r="AA64" s="4" t="s">
        <v>1062</v>
      </c>
    </row>
    <row r="65" spans="1:27" ht="45" customHeight="1">
      <c r="A65" s="6" t="s">
        <v>1260</v>
      </c>
      <c r="B65" s="6" t="s">
        <v>1045</v>
      </c>
      <c r="C65" s="6" t="s">
        <v>1158</v>
      </c>
      <c r="D65" s="6" t="s">
        <v>493</v>
      </c>
      <c r="E65" s="6" t="s">
        <v>497</v>
      </c>
      <c r="F65" s="6" t="s">
        <v>498</v>
      </c>
      <c r="G65" s="6" t="s">
        <v>718</v>
      </c>
      <c r="H65" s="6" t="s">
        <v>719</v>
      </c>
      <c r="I65" s="6">
        <v>4</v>
      </c>
      <c r="J65" s="6" t="s">
        <v>1159</v>
      </c>
      <c r="K65" s="6" t="s">
        <v>1160</v>
      </c>
      <c r="L65" s="6" t="s">
        <v>1054</v>
      </c>
      <c r="M65" s="6" t="s">
        <v>1261</v>
      </c>
      <c r="N65" s="6" t="s">
        <v>1162</v>
      </c>
      <c r="O65" s="6" t="s">
        <v>1262</v>
      </c>
      <c r="P65" s="6" t="s">
        <v>1164</v>
      </c>
      <c r="Q65" s="6" t="s">
        <v>1165</v>
      </c>
      <c r="R65" s="6" t="s">
        <v>1166</v>
      </c>
      <c r="S65" s="6" t="s">
        <v>1057</v>
      </c>
      <c r="T65" s="6" t="s">
        <v>764</v>
      </c>
      <c r="U65" s="6">
        <v>0.76</v>
      </c>
      <c r="V65" s="6" t="s">
        <v>1059</v>
      </c>
      <c r="W65" s="6" t="s">
        <v>1057</v>
      </c>
      <c r="X65" s="12" t="str">
        <f>IF(V65="Approved","Yes","No")</f>
        <v>Yes</v>
      </c>
      <c r="Y65" s="6" t="s">
        <v>1060</v>
      </c>
      <c r="Z65" s="6" t="s">
        <v>1263</v>
      </c>
      <c r="AA65" s="6" t="s">
        <v>1062</v>
      </c>
    </row>
    <row r="66" spans="1:27" ht="45" customHeight="1">
      <c r="A66" s="4" t="s">
        <v>1264</v>
      </c>
      <c r="B66" s="4" t="s">
        <v>1045</v>
      </c>
      <c r="C66" s="4" t="s">
        <v>1158</v>
      </c>
      <c r="D66" s="4" t="s">
        <v>493</v>
      </c>
      <c r="E66" s="4" t="s">
        <v>497</v>
      </c>
      <c r="F66" s="4" t="s">
        <v>498</v>
      </c>
      <c r="G66" s="4" t="s">
        <v>725</v>
      </c>
      <c r="H66" s="4" t="s">
        <v>726</v>
      </c>
      <c r="I66" s="4">
        <v>4</v>
      </c>
      <c r="J66" s="4" t="s">
        <v>1159</v>
      </c>
      <c r="K66" s="4" t="s">
        <v>1160</v>
      </c>
      <c r="L66" s="4" t="s">
        <v>1054</v>
      </c>
      <c r="M66" s="4" t="s">
        <v>1265</v>
      </c>
      <c r="N66" s="4" t="s">
        <v>1162</v>
      </c>
      <c r="O66" s="4" t="s">
        <v>1266</v>
      </c>
      <c r="P66" s="4" t="s">
        <v>1164</v>
      </c>
      <c r="Q66" s="4" t="s">
        <v>1165</v>
      </c>
      <c r="R66" s="4" t="s">
        <v>1166</v>
      </c>
      <c r="S66" s="4" t="s">
        <v>1168</v>
      </c>
      <c r="T66" s="4" t="s">
        <v>764</v>
      </c>
      <c r="U66" s="4">
        <v>0.92</v>
      </c>
      <c r="V66" s="4" t="s">
        <v>1059</v>
      </c>
      <c r="W66" s="4" t="s">
        <v>1057</v>
      </c>
      <c r="X66" s="11" t="str">
        <f>IF(V66="Approved","Yes","No")</f>
        <v>Yes</v>
      </c>
      <c r="Y66" s="4" t="s">
        <v>1060</v>
      </c>
      <c r="Z66" s="4" t="s">
        <v>1267</v>
      </c>
      <c r="AA66" s="4" t="s">
        <v>1062</v>
      </c>
    </row>
    <row r="67" spans="1:27" ht="45" customHeight="1">
      <c r="A67" s="6" t="s">
        <v>1268</v>
      </c>
      <c r="B67" s="6" t="s">
        <v>1045</v>
      </c>
      <c r="C67" s="6" t="s">
        <v>1158</v>
      </c>
      <c r="D67" s="6" t="s">
        <v>493</v>
      </c>
      <c r="E67" s="6" t="s">
        <v>497</v>
      </c>
      <c r="F67" s="6" t="s">
        <v>498</v>
      </c>
      <c r="G67" s="6" t="s">
        <v>729</v>
      </c>
      <c r="H67" s="6" t="s">
        <v>629</v>
      </c>
      <c r="I67" s="6">
        <v>4</v>
      </c>
      <c r="J67" s="6" t="s">
        <v>1159</v>
      </c>
      <c r="K67" s="6" t="s">
        <v>1160</v>
      </c>
      <c r="L67" s="6" t="s">
        <v>1054</v>
      </c>
      <c r="M67" s="6" t="s">
        <v>1269</v>
      </c>
      <c r="N67" s="6" t="s">
        <v>1162</v>
      </c>
      <c r="O67" s="6" t="s">
        <v>1184</v>
      </c>
      <c r="P67" s="6" t="s">
        <v>1164</v>
      </c>
      <c r="Q67" s="6" t="s">
        <v>1165</v>
      </c>
      <c r="R67" s="6" t="s">
        <v>1166</v>
      </c>
      <c r="S67" s="6" t="s">
        <v>1057</v>
      </c>
      <c r="T67" s="6" t="s">
        <v>764</v>
      </c>
      <c r="U67" s="6">
        <v>0.85</v>
      </c>
      <c r="V67" s="6" t="s">
        <v>1167</v>
      </c>
      <c r="W67" s="6" t="s">
        <v>1168</v>
      </c>
      <c r="X67" s="12" t="str">
        <f>IF(V67="Approved","Yes","No")</f>
        <v>No</v>
      </c>
      <c r="Y67" s="6" t="s">
        <v>1060</v>
      </c>
      <c r="Z67" s="6" t="s">
        <v>1270</v>
      </c>
      <c r="AA67" s="6" t="s">
        <v>1062</v>
      </c>
    </row>
    <row r="68" spans="1:27" ht="45" customHeight="1">
      <c r="A68" s="4" t="s">
        <v>1271</v>
      </c>
      <c r="B68" s="4" t="s">
        <v>1045</v>
      </c>
      <c r="C68" s="4" t="s">
        <v>1158</v>
      </c>
      <c r="D68" s="4" t="s">
        <v>493</v>
      </c>
      <c r="E68" s="4" t="s">
        <v>497</v>
      </c>
      <c r="F68" s="4" t="s">
        <v>498</v>
      </c>
      <c r="G68" s="4" t="s">
        <v>730</v>
      </c>
      <c r="H68" s="4" t="s">
        <v>731</v>
      </c>
      <c r="I68" s="4">
        <v>4</v>
      </c>
      <c r="J68" s="4" t="s">
        <v>1159</v>
      </c>
      <c r="K68" s="4" t="s">
        <v>1160</v>
      </c>
      <c r="L68" s="4" t="s">
        <v>1054</v>
      </c>
      <c r="M68" s="4" t="s">
        <v>1272</v>
      </c>
      <c r="N68" s="4" t="s">
        <v>1162</v>
      </c>
      <c r="O68" s="4" t="s">
        <v>1273</v>
      </c>
      <c r="P68" s="4" t="s">
        <v>1164</v>
      </c>
      <c r="Q68" s="4" t="s">
        <v>1165</v>
      </c>
      <c r="R68" s="4" t="s">
        <v>1166</v>
      </c>
      <c r="S68" s="4" t="s">
        <v>1057</v>
      </c>
      <c r="T68" s="4" t="s">
        <v>764</v>
      </c>
      <c r="U68" s="4">
        <v>0.87</v>
      </c>
      <c r="V68" s="4" t="s">
        <v>1059</v>
      </c>
      <c r="W68" s="4" t="s">
        <v>1057</v>
      </c>
      <c r="X68" s="11" t="str">
        <f>IF(V68="Approved","Yes","No")</f>
        <v>Yes</v>
      </c>
      <c r="Y68" s="4" t="s">
        <v>1060</v>
      </c>
      <c r="Z68" s="4" t="s">
        <v>1274</v>
      </c>
      <c r="AA68" s="4" t="s">
        <v>1062</v>
      </c>
    </row>
    <row r="69" spans="1:27" ht="45" customHeight="1">
      <c r="A69" s="6" t="s">
        <v>1275</v>
      </c>
      <c r="B69" s="6" t="s">
        <v>1043</v>
      </c>
      <c r="C69" s="6" t="s">
        <v>1158</v>
      </c>
      <c r="D69" s="6" t="s">
        <v>493</v>
      </c>
      <c r="E69" s="6" t="s">
        <v>492</v>
      </c>
      <c r="F69" s="6" t="s">
        <v>495</v>
      </c>
      <c r="G69" s="6" t="s">
        <v>678</v>
      </c>
      <c r="H69" s="6" t="s">
        <v>564</v>
      </c>
      <c r="I69" s="6">
        <v>3</v>
      </c>
      <c r="J69" s="6" t="s">
        <v>1159</v>
      </c>
      <c r="K69" s="6" t="s">
        <v>1160</v>
      </c>
      <c r="L69" s="6" t="s">
        <v>1054</v>
      </c>
      <c r="M69" s="6" t="s">
        <v>1276</v>
      </c>
      <c r="N69" s="6" t="s">
        <v>1162</v>
      </c>
      <c r="O69" s="6" t="s">
        <v>1188</v>
      </c>
      <c r="P69" s="6" t="s">
        <v>1164</v>
      </c>
      <c r="Q69" s="6" t="s">
        <v>1165</v>
      </c>
      <c r="R69" s="6" t="s">
        <v>1166</v>
      </c>
      <c r="S69" s="6" t="s">
        <v>1057</v>
      </c>
      <c r="T69" s="6" t="s">
        <v>1058</v>
      </c>
      <c r="U69" s="6">
        <v>0.8</v>
      </c>
      <c r="V69" s="6" t="s">
        <v>1059</v>
      </c>
      <c r="W69" s="6" t="s">
        <v>1057</v>
      </c>
      <c r="X69" s="12" t="str">
        <f>IF(V69="Approved","Yes","No")</f>
        <v>Yes</v>
      </c>
      <c r="Y69" s="6" t="s">
        <v>1060</v>
      </c>
      <c r="Z69" s="6" t="s">
        <v>1277</v>
      </c>
      <c r="AA69" s="6" t="s">
        <v>1062</v>
      </c>
    </row>
    <row r="70" spans="1:27" ht="45" customHeight="1">
      <c r="A70" s="4" t="s">
        <v>1278</v>
      </c>
      <c r="B70" s="4" t="s">
        <v>1043</v>
      </c>
      <c r="C70" s="4" t="s">
        <v>1158</v>
      </c>
      <c r="D70" s="4" t="s">
        <v>493</v>
      </c>
      <c r="E70" s="4" t="s">
        <v>492</v>
      </c>
      <c r="F70" s="4" t="s">
        <v>495</v>
      </c>
      <c r="G70" s="4" t="s">
        <v>683</v>
      </c>
      <c r="H70" s="4" t="s">
        <v>684</v>
      </c>
      <c r="I70" s="4">
        <v>3</v>
      </c>
      <c r="J70" s="4" t="s">
        <v>1159</v>
      </c>
      <c r="K70" s="4" t="s">
        <v>1160</v>
      </c>
      <c r="L70" s="4" t="s">
        <v>1054</v>
      </c>
      <c r="M70" s="4" t="s">
        <v>1279</v>
      </c>
      <c r="N70" s="4" t="s">
        <v>1162</v>
      </c>
      <c r="O70" s="4" t="s">
        <v>1242</v>
      </c>
      <c r="P70" s="4" t="s">
        <v>1164</v>
      </c>
      <c r="Q70" s="4" t="s">
        <v>1165</v>
      </c>
      <c r="R70" s="4" t="s">
        <v>1166</v>
      </c>
      <c r="S70" s="4" t="s">
        <v>1057</v>
      </c>
      <c r="T70" s="4" t="s">
        <v>1058</v>
      </c>
      <c r="U70" s="4">
        <v>0.85</v>
      </c>
      <c r="V70" s="4" t="s">
        <v>1213</v>
      </c>
      <c r="W70" s="4" t="s">
        <v>1168</v>
      </c>
      <c r="X70" s="11" t="str">
        <f>IF(V70="Approved","Yes","No")</f>
        <v>No</v>
      </c>
      <c r="Y70" s="4" t="s">
        <v>1060</v>
      </c>
      <c r="Z70" s="4" t="s">
        <v>1280</v>
      </c>
      <c r="AA70" s="4" t="s">
        <v>1062</v>
      </c>
    </row>
    <row r="71" spans="1:27" ht="45" customHeight="1">
      <c r="A71" s="6" t="s">
        <v>1281</v>
      </c>
      <c r="B71" s="6" t="s">
        <v>1043</v>
      </c>
      <c r="C71" s="6" t="s">
        <v>1158</v>
      </c>
      <c r="D71" s="6" t="s">
        <v>493</v>
      </c>
      <c r="E71" s="6" t="s">
        <v>492</v>
      </c>
      <c r="F71" s="6" t="s">
        <v>495</v>
      </c>
      <c r="G71" s="6" t="s">
        <v>690</v>
      </c>
      <c r="H71" s="6" t="s">
        <v>691</v>
      </c>
      <c r="I71" s="6">
        <v>3</v>
      </c>
      <c r="J71" s="6" t="s">
        <v>1159</v>
      </c>
      <c r="K71" s="6" t="s">
        <v>1160</v>
      </c>
      <c r="L71" s="6" t="s">
        <v>1054</v>
      </c>
      <c r="M71" s="6" t="s">
        <v>1282</v>
      </c>
      <c r="N71" s="6" t="s">
        <v>1162</v>
      </c>
      <c r="O71" s="6" t="s">
        <v>1246</v>
      </c>
      <c r="P71" s="6" t="s">
        <v>1164</v>
      </c>
      <c r="Q71" s="6" t="s">
        <v>1165</v>
      </c>
      <c r="R71" s="6" t="s">
        <v>1166</v>
      </c>
      <c r="S71" s="6" t="s">
        <v>1057</v>
      </c>
      <c r="T71" s="6" t="s">
        <v>1058</v>
      </c>
      <c r="U71" s="6">
        <v>0.86</v>
      </c>
      <c r="V71" s="6" t="s">
        <v>1167</v>
      </c>
      <c r="W71" s="6" t="s">
        <v>1168</v>
      </c>
      <c r="X71" s="12" t="str">
        <f>IF(V71="Approved","Yes","No")</f>
        <v>No</v>
      </c>
      <c r="Y71" s="6" t="s">
        <v>1060</v>
      </c>
      <c r="Z71" s="6" t="s">
        <v>1283</v>
      </c>
      <c r="AA71" s="6" t="s">
        <v>1062</v>
      </c>
    </row>
    <row r="72" spans="1:27" ht="45" customHeight="1">
      <c r="A72" s="4" t="s">
        <v>1284</v>
      </c>
      <c r="B72" s="4" t="s">
        <v>1043</v>
      </c>
      <c r="C72" s="4" t="s">
        <v>1158</v>
      </c>
      <c r="D72" s="4" t="s">
        <v>493</v>
      </c>
      <c r="E72" s="4" t="s">
        <v>492</v>
      </c>
      <c r="F72" s="4" t="s">
        <v>495</v>
      </c>
      <c r="G72" s="4" t="s">
        <v>697</v>
      </c>
      <c r="H72" s="4" t="s">
        <v>698</v>
      </c>
      <c r="I72" s="4">
        <v>3</v>
      </c>
      <c r="J72" s="4" t="s">
        <v>1159</v>
      </c>
      <c r="K72" s="4" t="s">
        <v>1160</v>
      </c>
      <c r="L72" s="4" t="s">
        <v>1054</v>
      </c>
      <c r="M72" s="4" t="s">
        <v>1285</v>
      </c>
      <c r="N72" s="4" t="s">
        <v>1162</v>
      </c>
      <c r="O72" s="4" t="s">
        <v>1250</v>
      </c>
      <c r="P72" s="4" t="s">
        <v>1164</v>
      </c>
      <c r="Q72" s="4" t="s">
        <v>1165</v>
      </c>
      <c r="R72" s="4" t="s">
        <v>1166</v>
      </c>
      <c r="S72" s="4" t="s">
        <v>1057</v>
      </c>
      <c r="T72" s="4" t="s">
        <v>1058</v>
      </c>
      <c r="U72" s="4">
        <v>0.88</v>
      </c>
      <c r="V72" s="4" t="s">
        <v>1167</v>
      </c>
      <c r="W72" s="4" t="s">
        <v>1168</v>
      </c>
      <c r="X72" s="11" t="str">
        <f>IF(V72="Approved","Yes","No")</f>
        <v>No</v>
      </c>
      <c r="Y72" s="4" t="s">
        <v>1060</v>
      </c>
      <c r="Z72" s="4" t="s">
        <v>1286</v>
      </c>
      <c r="AA72" s="4" t="s">
        <v>1062</v>
      </c>
    </row>
    <row r="73" spans="1:27" ht="45" customHeight="1">
      <c r="A73" s="6" t="s">
        <v>1287</v>
      </c>
      <c r="B73" s="6" t="s">
        <v>1043</v>
      </c>
      <c r="C73" s="6" t="s">
        <v>1158</v>
      </c>
      <c r="D73" s="6" t="s">
        <v>493</v>
      </c>
      <c r="E73" s="6" t="s">
        <v>492</v>
      </c>
      <c r="F73" s="6" t="s">
        <v>495</v>
      </c>
      <c r="G73" s="6" t="s">
        <v>704</v>
      </c>
      <c r="H73" s="6" t="s">
        <v>705</v>
      </c>
      <c r="I73" s="6">
        <v>3</v>
      </c>
      <c r="J73" s="6" t="s">
        <v>1159</v>
      </c>
      <c r="K73" s="6" t="s">
        <v>1160</v>
      </c>
      <c r="L73" s="6" t="s">
        <v>1054</v>
      </c>
      <c r="M73" s="6" t="s">
        <v>1288</v>
      </c>
      <c r="N73" s="6" t="s">
        <v>1162</v>
      </c>
      <c r="O73" s="6" t="s">
        <v>1254</v>
      </c>
      <c r="P73" s="6" t="s">
        <v>1164</v>
      </c>
      <c r="Q73" s="6" t="s">
        <v>1165</v>
      </c>
      <c r="R73" s="6" t="s">
        <v>1166</v>
      </c>
      <c r="S73" s="6" t="s">
        <v>1168</v>
      </c>
      <c r="T73" s="6" t="s">
        <v>1058</v>
      </c>
      <c r="U73" s="6">
        <v>0.73</v>
      </c>
      <c r="V73" s="6" t="s">
        <v>1059</v>
      </c>
      <c r="W73" s="6" t="s">
        <v>1057</v>
      </c>
      <c r="X73" s="12" t="str">
        <f>IF(V73="Approved","Yes","No")</f>
        <v>Yes</v>
      </c>
      <c r="Y73" s="6" t="s">
        <v>1060</v>
      </c>
      <c r="Z73" s="6" t="s">
        <v>1289</v>
      </c>
      <c r="AA73" s="6" t="s">
        <v>1062</v>
      </c>
    </row>
    <row r="74" spans="1:27" ht="45" customHeight="1">
      <c r="A74" s="4" t="s">
        <v>1290</v>
      </c>
      <c r="B74" s="4" t="s">
        <v>1043</v>
      </c>
      <c r="C74" s="4" t="s">
        <v>1158</v>
      </c>
      <c r="D74" s="4" t="s">
        <v>493</v>
      </c>
      <c r="E74" s="4" t="s">
        <v>492</v>
      </c>
      <c r="F74" s="4" t="s">
        <v>495</v>
      </c>
      <c r="G74" s="4" t="s">
        <v>711</v>
      </c>
      <c r="H74" s="4" t="s">
        <v>712</v>
      </c>
      <c r="I74" s="4">
        <v>3</v>
      </c>
      <c r="J74" s="4" t="s">
        <v>1159</v>
      </c>
      <c r="K74" s="4" t="s">
        <v>1160</v>
      </c>
      <c r="L74" s="4" t="s">
        <v>1054</v>
      </c>
      <c r="M74" s="4" t="s">
        <v>1291</v>
      </c>
      <c r="N74" s="4" t="s">
        <v>1162</v>
      </c>
      <c r="O74" s="4" t="s">
        <v>1258</v>
      </c>
      <c r="P74" s="4" t="s">
        <v>1164</v>
      </c>
      <c r="Q74" s="4" t="s">
        <v>1165</v>
      </c>
      <c r="R74" s="4" t="s">
        <v>1166</v>
      </c>
      <c r="S74" s="4" t="s">
        <v>1057</v>
      </c>
      <c r="T74" s="4" t="s">
        <v>1058</v>
      </c>
      <c r="U74" s="4">
        <v>0.78</v>
      </c>
      <c r="V74" s="4" t="s">
        <v>1059</v>
      </c>
      <c r="W74" s="4" t="s">
        <v>1057</v>
      </c>
      <c r="X74" s="11" t="str">
        <f>IF(V74="Approved","Yes","No")</f>
        <v>Yes</v>
      </c>
      <c r="Y74" s="4" t="s">
        <v>1060</v>
      </c>
      <c r="Z74" s="4" t="s">
        <v>1292</v>
      </c>
      <c r="AA74" s="4" t="s">
        <v>1062</v>
      </c>
    </row>
    <row r="75" spans="1:27" ht="45" customHeight="1">
      <c r="A75" s="6" t="s">
        <v>1293</v>
      </c>
      <c r="B75" s="6" t="s">
        <v>1043</v>
      </c>
      <c r="C75" s="6" t="s">
        <v>1158</v>
      </c>
      <c r="D75" s="6" t="s">
        <v>493</v>
      </c>
      <c r="E75" s="6" t="s">
        <v>492</v>
      </c>
      <c r="F75" s="6" t="s">
        <v>495</v>
      </c>
      <c r="G75" s="6" t="s">
        <v>718</v>
      </c>
      <c r="H75" s="6" t="s">
        <v>719</v>
      </c>
      <c r="I75" s="6">
        <v>3</v>
      </c>
      <c r="J75" s="6" t="s">
        <v>1159</v>
      </c>
      <c r="K75" s="6" t="s">
        <v>1160</v>
      </c>
      <c r="L75" s="6" t="s">
        <v>1054</v>
      </c>
      <c r="M75" s="6" t="s">
        <v>1294</v>
      </c>
      <c r="N75" s="6" t="s">
        <v>1162</v>
      </c>
      <c r="O75" s="6" t="s">
        <v>1262</v>
      </c>
      <c r="P75" s="6" t="s">
        <v>1164</v>
      </c>
      <c r="Q75" s="6" t="s">
        <v>1165</v>
      </c>
      <c r="R75" s="6" t="s">
        <v>1166</v>
      </c>
      <c r="S75" s="6" t="s">
        <v>1057</v>
      </c>
      <c r="T75" s="6" t="s">
        <v>1058</v>
      </c>
      <c r="U75" s="6">
        <v>0.92</v>
      </c>
      <c r="V75" s="6" t="s">
        <v>1059</v>
      </c>
      <c r="W75" s="6" t="s">
        <v>1057</v>
      </c>
      <c r="X75" s="12" t="str">
        <f>IF(V75="Approved","Yes","No")</f>
        <v>Yes</v>
      </c>
      <c r="Y75" s="6" t="s">
        <v>1060</v>
      </c>
      <c r="Z75" s="6" t="s">
        <v>1295</v>
      </c>
      <c r="AA75" s="6" t="s">
        <v>1062</v>
      </c>
    </row>
    <row r="76" spans="1:27" ht="45" customHeight="1">
      <c r="A76" s="4" t="s">
        <v>1296</v>
      </c>
      <c r="B76" s="4" t="s">
        <v>1043</v>
      </c>
      <c r="C76" s="4" t="s">
        <v>1158</v>
      </c>
      <c r="D76" s="4" t="s">
        <v>493</v>
      </c>
      <c r="E76" s="4" t="s">
        <v>492</v>
      </c>
      <c r="F76" s="4" t="s">
        <v>495</v>
      </c>
      <c r="G76" s="4" t="s">
        <v>725</v>
      </c>
      <c r="H76" s="4" t="s">
        <v>726</v>
      </c>
      <c r="I76" s="4">
        <v>3</v>
      </c>
      <c r="J76" s="4" t="s">
        <v>1159</v>
      </c>
      <c r="K76" s="4" t="s">
        <v>1160</v>
      </c>
      <c r="L76" s="4" t="s">
        <v>1054</v>
      </c>
      <c r="M76" s="4" t="s">
        <v>1297</v>
      </c>
      <c r="N76" s="4" t="s">
        <v>1162</v>
      </c>
      <c r="O76" s="4" t="s">
        <v>1266</v>
      </c>
      <c r="P76" s="4" t="s">
        <v>1164</v>
      </c>
      <c r="Q76" s="4" t="s">
        <v>1165</v>
      </c>
      <c r="R76" s="4" t="s">
        <v>1166</v>
      </c>
      <c r="S76" s="4" t="s">
        <v>1168</v>
      </c>
      <c r="T76" s="4" t="s">
        <v>1058</v>
      </c>
      <c r="U76" s="4">
        <v>0.79</v>
      </c>
      <c r="V76" s="4" t="s">
        <v>1167</v>
      </c>
      <c r="W76" s="4" t="s">
        <v>1168</v>
      </c>
      <c r="X76" s="11" t="str">
        <f>IF(V76="Approved","Yes","No")</f>
        <v>No</v>
      </c>
      <c r="Y76" s="4" t="s">
        <v>1060</v>
      </c>
      <c r="Z76" s="4" t="s">
        <v>1298</v>
      </c>
      <c r="AA76" s="4" t="s">
        <v>1062</v>
      </c>
    </row>
    <row r="77" spans="1:27" ht="45" customHeight="1">
      <c r="A77" s="6" t="s">
        <v>1299</v>
      </c>
      <c r="B77" s="6" t="s">
        <v>1043</v>
      </c>
      <c r="C77" s="6" t="s">
        <v>1158</v>
      </c>
      <c r="D77" s="6" t="s">
        <v>493</v>
      </c>
      <c r="E77" s="6" t="s">
        <v>492</v>
      </c>
      <c r="F77" s="6" t="s">
        <v>495</v>
      </c>
      <c r="G77" s="6" t="s">
        <v>729</v>
      </c>
      <c r="H77" s="6" t="s">
        <v>629</v>
      </c>
      <c r="I77" s="6">
        <v>3</v>
      </c>
      <c r="J77" s="6" t="s">
        <v>1159</v>
      </c>
      <c r="K77" s="6" t="s">
        <v>1160</v>
      </c>
      <c r="L77" s="6" t="s">
        <v>1054</v>
      </c>
      <c r="M77" s="6" t="s">
        <v>1300</v>
      </c>
      <c r="N77" s="6" t="s">
        <v>1162</v>
      </c>
      <c r="O77" s="6" t="s">
        <v>1184</v>
      </c>
      <c r="P77" s="6" t="s">
        <v>1164</v>
      </c>
      <c r="Q77" s="6" t="s">
        <v>1165</v>
      </c>
      <c r="R77" s="6" t="s">
        <v>1166</v>
      </c>
      <c r="S77" s="6" t="s">
        <v>1057</v>
      </c>
      <c r="T77" s="6" t="s">
        <v>1058</v>
      </c>
      <c r="U77" s="6">
        <v>0.8</v>
      </c>
      <c r="V77" s="6" t="s">
        <v>1167</v>
      </c>
      <c r="W77" s="6" t="s">
        <v>1168</v>
      </c>
      <c r="X77" s="12" t="str">
        <f>IF(V77="Approved","Yes","No")</f>
        <v>No</v>
      </c>
      <c r="Y77" s="6" t="s">
        <v>1060</v>
      </c>
      <c r="Z77" s="6" t="s">
        <v>1301</v>
      </c>
      <c r="AA77" s="6" t="s">
        <v>1062</v>
      </c>
    </row>
    <row r="78" spans="1:27" ht="45" customHeight="1">
      <c r="A78" s="4" t="s">
        <v>1302</v>
      </c>
      <c r="B78" s="4" t="s">
        <v>1043</v>
      </c>
      <c r="C78" s="4" t="s">
        <v>1158</v>
      </c>
      <c r="D78" s="4" t="s">
        <v>493</v>
      </c>
      <c r="E78" s="4" t="s">
        <v>492</v>
      </c>
      <c r="F78" s="4" t="s">
        <v>495</v>
      </c>
      <c r="G78" s="4" t="s">
        <v>730</v>
      </c>
      <c r="H78" s="4" t="s">
        <v>731</v>
      </c>
      <c r="I78" s="4">
        <v>3</v>
      </c>
      <c r="J78" s="4" t="s">
        <v>1159</v>
      </c>
      <c r="K78" s="4" t="s">
        <v>1160</v>
      </c>
      <c r="L78" s="4" t="s">
        <v>1054</v>
      </c>
      <c r="M78" s="4" t="s">
        <v>1303</v>
      </c>
      <c r="N78" s="4" t="s">
        <v>1162</v>
      </c>
      <c r="O78" s="4" t="s">
        <v>1273</v>
      </c>
      <c r="P78" s="4" t="s">
        <v>1164</v>
      </c>
      <c r="Q78" s="4" t="s">
        <v>1165</v>
      </c>
      <c r="R78" s="4" t="s">
        <v>1166</v>
      </c>
      <c r="S78" s="4" t="s">
        <v>1057</v>
      </c>
      <c r="T78" s="4" t="s">
        <v>1058</v>
      </c>
      <c r="U78" s="4">
        <v>0.82</v>
      </c>
      <c r="V78" s="4" t="s">
        <v>1213</v>
      </c>
      <c r="W78" s="4" t="s">
        <v>1168</v>
      </c>
      <c r="X78" s="11" t="str">
        <f>IF(V78="Approved","Yes","No")</f>
        <v>No</v>
      </c>
      <c r="Y78" s="4" t="s">
        <v>1060</v>
      </c>
      <c r="Z78" s="4" t="s">
        <v>1304</v>
      </c>
      <c r="AA78" s="4" t="s">
        <v>1062</v>
      </c>
    </row>
    <row r="79" spans="1:27" ht="45" customHeight="1">
      <c r="A79" s="6" t="s">
        <v>1305</v>
      </c>
      <c r="B79" s="6" t="s">
        <v>1047</v>
      </c>
      <c r="C79" s="6" t="s">
        <v>1158</v>
      </c>
      <c r="D79" s="6" t="s">
        <v>493</v>
      </c>
      <c r="E79" s="6" t="s">
        <v>500</v>
      </c>
      <c r="F79" s="6" t="s">
        <v>501</v>
      </c>
      <c r="G79" s="6" t="s">
        <v>678</v>
      </c>
      <c r="H79" s="6" t="s">
        <v>564</v>
      </c>
      <c r="I79" s="6">
        <v>3</v>
      </c>
      <c r="J79" s="6" t="s">
        <v>1159</v>
      </c>
      <c r="K79" s="6" t="s">
        <v>1160</v>
      </c>
      <c r="L79" s="6" t="s">
        <v>1054</v>
      </c>
      <c r="M79" s="6" t="s">
        <v>1306</v>
      </c>
      <c r="N79" s="6" t="s">
        <v>1162</v>
      </c>
      <c r="O79" s="6" t="s">
        <v>1188</v>
      </c>
      <c r="P79" s="6" t="s">
        <v>1164</v>
      </c>
      <c r="Q79" s="6" t="s">
        <v>1165</v>
      </c>
      <c r="R79" s="6" t="s">
        <v>1166</v>
      </c>
      <c r="S79" s="6" t="s">
        <v>1057</v>
      </c>
      <c r="T79" s="6" t="s">
        <v>1058</v>
      </c>
      <c r="U79" s="6">
        <v>0.77</v>
      </c>
      <c r="V79" s="6" t="s">
        <v>1059</v>
      </c>
      <c r="W79" s="6" t="s">
        <v>1057</v>
      </c>
      <c r="X79" s="12" t="str">
        <f>IF(V79="Approved","Yes","No")</f>
        <v>Yes</v>
      </c>
      <c r="Y79" s="6" t="s">
        <v>1060</v>
      </c>
      <c r="Z79" s="6" t="s">
        <v>1307</v>
      </c>
      <c r="AA79" s="6" t="s">
        <v>1062</v>
      </c>
    </row>
    <row r="80" spans="1:27" ht="45" customHeight="1">
      <c r="A80" s="4" t="s">
        <v>1308</v>
      </c>
      <c r="B80" s="4" t="s">
        <v>1047</v>
      </c>
      <c r="C80" s="4" t="s">
        <v>1158</v>
      </c>
      <c r="D80" s="4" t="s">
        <v>493</v>
      </c>
      <c r="E80" s="4" t="s">
        <v>500</v>
      </c>
      <c r="F80" s="4" t="s">
        <v>501</v>
      </c>
      <c r="G80" s="4" t="s">
        <v>683</v>
      </c>
      <c r="H80" s="4" t="s">
        <v>684</v>
      </c>
      <c r="I80" s="4">
        <v>3</v>
      </c>
      <c r="J80" s="4" t="s">
        <v>1159</v>
      </c>
      <c r="K80" s="4" t="s">
        <v>1160</v>
      </c>
      <c r="L80" s="4" t="s">
        <v>1054</v>
      </c>
      <c r="M80" s="4" t="s">
        <v>1309</v>
      </c>
      <c r="N80" s="4" t="s">
        <v>1162</v>
      </c>
      <c r="O80" s="4" t="s">
        <v>1242</v>
      </c>
      <c r="P80" s="4" t="s">
        <v>1164</v>
      </c>
      <c r="Q80" s="4" t="s">
        <v>1165</v>
      </c>
      <c r="R80" s="4" t="s">
        <v>1166</v>
      </c>
      <c r="S80" s="4" t="s">
        <v>1057</v>
      </c>
      <c r="T80" s="4" t="s">
        <v>1058</v>
      </c>
      <c r="U80" s="4">
        <v>0.78</v>
      </c>
      <c r="V80" s="4" t="s">
        <v>1167</v>
      </c>
      <c r="W80" s="4" t="s">
        <v>1168</v>
      </c>
      <c r="X80" s="11" t="str">
        <f>IF(V80="Approved","Yes","No")</f>
        <v>No</v>
      </c>
      <c r="Y80" s="4" t="s">
        <v>1060</v>
      </c>
      <c r="Z80" s="4" t="s">
        <v>1310</v>
      </c>
      <c r="AA80" s="4" t="s">
        <v>1062</v>
      </c>
    </row>
    <row r="81" spans="1:27" ht="45" customHeight="1">
      <c r="A81" s="6" t="s">
        <v>1311</v>
      </c>
      <c r="B81" s="6" t="s">
        <v>1047</v>
      </c>
      <c r="C81" s="6" t="s">
        <v>1158</v>
      </c>
      <c r="D81" s="6" t="s">
        <v>493</v>
      </c>
      <c r="E81" s="6" t="s">
        <v>500</v>
      </c>
      <c r="F81" s="6" t="s">
        <v>501</v>
      </c>
      <c r="G81" s="6" t="s">
        <v>690</v>
      </c>
      <c r="H81" s="6" t="s">
        <v>691</v>
      </c>
      <c r="I81" s="6">
        <v>3</v>
      </c>
      <c r="J81" s="6" t="s">
        <v>1159</v>
      </c>
      <c r="K81" s="6" t="s">
        <v>1160</v>
      </c>
      <c r="L81" s="6" t="s">
        <v>1054</v>
      </c>
      <c r="M81" s="6" t="s">
        <v>1312</v>
      </c>
      <c r="N81" s="6" t="s">
        <v>1162</v>
      </c>
      <c r="O81" s="6" t="s">
        <v>1246</v>
      </c>
      <c r="P81" s="6" t="s">
        <v>1164</v>
      </c>
      <c r="Q81" s="6" t="s">
        <v>1165</v>
      </c>
      <c r="R81" s="6" t="s">
        <v>1166</v>
      </c>
      <c r="S81" s="6" t="s">
        <v>1057</v>
      </c>
      <c r="T81" s="6" t="s">
        <v>1058</v>
      </c>
      <c r="U81" s="6">
        <v>0.91</v>
      </c>
      <c r="V81" s="6" t="s">
        <v>1167</v>
      </c>
      <c r="W81" s="6" t="s">
        <v>1168</v>
      </c>
      <c r="X81" s="12" t="str">
        <f>IF(V81="Approved","Yes","No")</f>
        <v>No</v>
      </c>
      <c r="Y81" s="6" t="s">
        <v>1060</v>
      </c>
      <c r="Z81" s="6" t="s">
        <v>1313</v>
      </c>
      <c r="AA81" s="6" t="s">
        <v>1062</v>
      </c>
    </row>
    <row r="82" spans="1:27" ht="45" customHeight="1">
      <c r="A82" s="4" t="s">
        <v>1314</v>
      </c>
      <c r="B82" s="4" t="s">
        <v>1047</v>
      </c>
      <c r="C82" s="4" t="s">
        <v>1158</v>
      </c>
      <c r="D82" s="4" t="s">
        <v>493</v>
      </c>
      <c r="E82" s="4" t="s">
        <v>500</v>
      </c>
      <c r="F82" s="4" t="s">
        <v>501</v>
      </c>
      <c r="G82" s="4" t="s">
        <v>697</v>
      </c>
      <c r="H82" s="4" t="s">
        <v>698</v>
      </c>
      <c r="I82" s="4">
        <v>3</v>
      </c>
      <c r="J82" s="4" t="s">
        <v>1159</v>
      </c>
      <c r="K82" s="4" t="s">
        <v>1160</v>
      </c>
      <c r="L82" s="4" t="s">
        <v>1054</v>
      </c>
      <c r="M82" s="4" t="s">
        <v>1315</v>
      </c>
      <c r="N82" s="4" t="s">
        <v>1162</v>
      </c>
      <c r="O82" s="4" t="s">
        <v>1250</v>
      </c>
      <c r="P82" s="4" t="s">
        <v>1164</v>
      </c>
      <c r="Q82" s="4" t="s">
        <v>1165</v>
      </c>
      <c r="R82" s="4" t="s">
        <v>1166</v>
      </c>
      <c r="S82" s="4" t="s">
        <v>1057</v>
      </c>
      <c r="T82" s="4" t="s">
        <v>1058</v>
      </c>
      <c r="U82" s="4">
        <v>0.77</v>
      </c>
      <c r="V82" s="4" t="s">
        <v>1059</v>
      </c>
      <c r="W82" s="4" t="s">
        <v>1057</v>
      </c>
      <c r="X82" s="11" t="str">
        <f>IF(V82="Approved","Yes","No")</f>
        <v>Yes</v>
      </c>
      <c r="Y82" s="4" t="s">
        <v>1060</v>
      </c>
      <c r="Z82" s="4" t="s">
        <v>1316</v>
      </c>
      <c r="AA82" s="4" t="s">
        <v>1062</v>
      </c>
    </row>
    <row r="83" spans="1:27" ht="45" customHeight="1">
      <c r="A83" s="6" t="s">
        <v>1317</v>
      </c>
      <c r="B83" s="6" t="s">
        <v>1047</v>
      </c>
      <c r="C83" s="6" t="s">
        <v>1158</v>
      </c>
      <c r="D83" s="6" t="s">
        <v>493</v>
      </c>
      <c r="E83" s="6" t="s">
        <v>500</v>
      </c>
      <c r="F83" s="6" t="s">
        <v>501</v>
      </c>
      <c r="G83" s="6" t="s">
        <v>704</v>
      </c>
      <c r="H83" s="6" t="s">
        <v>705</v>
      </c>
      <c r="I83" s="6">
        <v>3</v>
      </c>
      <c r="J83" s="6" t="s">
        <v>1159</v>
      </c>
      <c r="K83" s="6" t="s">
        <v>1160</v>
      </c>
      <c r="L83" s="6" t="s">
        <v>1054</v>
      </c>
      <c r="M83" s="6" t="s">
        <v>1318</v>
      </c>
      <c r="N83" s="6" t="s">
        <v>1162</v>
      </c>
      <c r="O83" s="6" t="s">
        <v>1254</v>
      </c>
      <c r="P83" s="6" t="s">
        <v>1164</v>
      </c>
      <c r="Q83" s="6" t="s">
        <v>1165</v>
      </c>
      <c r="R83" s="6" t="s">
        <v>1166</v>
      </c>
      <c r="S83" s="6" t="s">
        <v>1168</v>
      </c>
      <c r="T83" s="6" t="s">
        <v>1058</v>
      </c>
      <c r="U83" s="6">
        <v>0.83</v>
      </c>
      <c r="V83" s="6" t="s">
        <v>1213</v>
      </c>
      <c r="W83" s="6" t="s">
        <v>1168</v>
      </c>
      <c r="X83" s="12" t="str">
        <f>IF(V83="Approved","Yes","No")</f>
        <v>No</v>
      </c>
      <c r="Y83" s="6" t="s">
        <v>1060</v>
      </c>
      <c r="Z83" s="6" t="s">
        <v>1319</v>
      </c>
      <c r="AA83" s="6" t="s">
        <v>1062</v>
      </c>
    </row>
    <row r="84" spans="1:27" ht="45" customHeight="1">
      <c r="A84" s="4" t="s">
        <v>1320</v>
      </c>
      <c r="B84" s="4" t="s">
        <v>1047</v>
      </c>
      <c r="C84" s="4" t="s">
        <v>1158</v>
      </c>
      <c r="D84" s="4" t="s">
        <v>493</v>
      </c>
      <c r="E84" s="4" t="s">
        <v>500</v>
      </c>
      <c r="F84" s="4" t="s">
        <v>501</v>
      </c>
      <c r="G84" s="4" t="s">
        <v>711</v>
      </c>
      <c r="H84" s="4" t="s">
        <v>712</v>
      </c>
      <c r="I84" s="4">
        <v>3</v>
      </c>
      <c r="J84" s="4" t="s">
        <v>1159</v>
      </c>
      <c r="K84" s="4" t="s">
        <v>1160</v>
      </c>
      <c r="L84" s="4" t="s">
        <v>1054</v>
      </c>
      <c r="M84" s="4" t="s">
        <v>1321</v>
      </c>
      <c r="N84" s="4" t="s">
        <v>1162</v>
      </c>
      <c r="O84" s="4" t="s">
        <v>1258</v>
      </c>
      <c r="P84" s="4" t="s">
        <v>1164</v>
      </c>
      <c r="Q84" s="4" t="s">
        <v>1165</v>
      </c>
      <c r="R84" s="4" t="s">
        <v>1166</v>
      </c>
      <c r="S84" s="4" t="s">
        <v>1057</v>
      </c>
      <c r="T84" s="4" t="s">
        <v>1058</v>
      </c>
      <c r="U84" s="4">
        <v>0.73</v>
      </c>
      <c r="V84" s="4" t="s">
        <v>1059</v>
      </c>
      <c r="W84" s="4" t="s">
        <v>1057</v>
      </c>
      <c r="X84" s="11" t="str">
        <f>IF(V84="Approved","Yes","No")</f>
        <v>Yes</v>
      </c>
      <c r="Y84" s="4" t="s">
        <v>1060</v>
      </c>
      <c r="Z84" s="4" t="s">
        <v>1322</v>
      </c>
      <c r="AA84" s="4" t="s">
        <v>1062</v>
      </c>
    </row>
    <row r="85" spans="1:27" ht="45" customHeight="1">
      <c r="A85" s="6" t="s">
        <v>1323</v>
      </c>
      <c r="B85" s="6" t="s">
        <v>1047</v>
      </c>
      <c r="C85" s="6" t="s">
        <v>1158</v>
      </c>
      <c r="D85" s="6" t="s">
        <v>493</v>
      </c>
      <c r="E85" s="6" t="s">
        <v>500</v>
      </c>
      <c r="F85" s="6" t="s">
        <v>501</v>
      </c>
      <c r="G85" s="6" t="s">
        <v>718</v>
      </c>
      <c r="H85" s="6" t="s">
        <v>719</v>
      </c>
      <c r="I85" s="6">
        <v>3</v>
      </c>
      <c r="J85" s="6" t="s">
        <v>1159</v>
      </c>
      <c r="K85" s="6" t="s">
        <v>1160</v>
      </c>
      <c r="L85" s="6" t="s">
        <v>1054</v>
      </c>
      <c r="M85" s="6" t="s">
        <v>1324</v>
      </c>
      <c r="N85" s="6" t="s">
        <v>1162</v>
      </c>
      <c r="O85" s="6" t="s">
        <v>1262</v>
      </c>
      <c r="P85" s="6" t="s">
        <v>1164</v>
      </c>
      <c r="Q85" s="6" t="s">
        <v>1165</v>
      </c>
      <c r="R85" s="6" t="s">
        <v>1166</v>
      </c>
      <c r="S85" s="6" t="s">
        <v>1057</v>
      </c>
      <c r="T85" s="6" t="s">
        <v>1058</v>
      </c>
      <c r="U85" s="6">
        <v>0.85</v>
      </c>
      <c r="V85" s="6" t="s">
        <v>1059</v>
      </c>
      <c r="W85" s="6" t="s">
        <v>1057</v>
      </c>
      <c r="X85" s="12" t="str">
        <f>IF(V85="Approved","Yes","No")</f>
        <v>Yes</v>
      </c>
      <c r="Y85" s="6" t="s">
        <v>1060</v>
      </c>
      <c r="Z85" s="6" t="s">
        <v>1325</v>
      </c>
      <c r="AA85" s="6" t="s">
        <v>1062</v>
      </c>
    </row>
    <row r="86" spans="1:27" ht="45" customHeight="1">
      <c r="A86" s="4" t="s">
        <v>1326</v>
      </c>
      <c r="B86" s="4" t="s">
        <v>1047</v>
      </c>
      <c r="C86" s="4" t="s">
        <v>1158</v>
      </c>
      <c r="D86" s="4" t="s">
        <v>493</v>
      </c>
      <c r="E86" s="4" t="s">
        <v>500</v>
      </c>
      <c r="F86" s="4" t="s">
        <v>501</v>
      </c>
      <c r="G86" s="4" t="s">
        <v>725</v>
      </c>
      <c r="H86" s="4" t="s">
        <v>726</v>
      </c>
      <c r="I86" s="4">
        <v>3</v>
      </c>
      <c r="J86" s="4" t="s">
        <v>1159</v>
      </c>
      <c r="K86" s="4" t="s">
        <v>1160</v>
      </c>
      <c r="L86" s="4" t="s">
        <v>1054</v>
      </c>
      <c r="M86" s="4" t="s">
        <v>1327</v>
      </c>
      <c r="N86" s="4" t="s">
        <v>1162</v>
      </c>
      <c r="O86" s="4" t="s">
        <v>1266</v>
      </c>
      <c r="P86" s="4" t="s">
        <v>1164</v>
      </c>
      <c r="Q86" s="4" t="s">
        <v>1165</v>
      </c>
      <c r="R86" s="4" t="s">
        <v>1166</v>
      </c>
      <c r="S86" s="4" t="s">
        <v>1168</v>
      </c>
      <c r="T86" s="4" t="s">
        <v>1058</v>
      </c>
      <c r="U86" s="4">
        <v>0.81</v>
      </c>
      <c r="V86" s="4" t="s">
        <v>1167</v>
      </c>
      <c r="W86" s="4" t="s">
        <v>1168</v>
      </c>
      <c r="X86" s="11" t="str">
        <f>IF(V86="Approved","Yes","No")</f>
        <v>No</v>
      </c>
      <c r="Y86" s="4" t="s">
        <v>1060</v>
      </c>
      <c r="Z86" s="4" t="s">
        <v>1328</v>
      </c>
      <c r="AA86" s="4" t="s">
        <v>1062</v>
      </c>
    </row>
    <row r="87" spans="1:27" ht="45" customHeight="1">
      <c r="A87" s="6" t="s">
        <v>1329</v>
      </c>
      <c r="B87" s="6" t="s">
        <v>1047</v>
      </c>
      <c r="C87" s="6" t="s">
        <v>1158</v>
      </c>
      <c r="D87" s="6" t="s">
        <v>493</v>
      </c>
      <c r="E87" s="6" t="s">
        <v>500</v>
      </c>
      <c r="F87" s="6" t="s">
        <v>501</v>
      </c>
      <c r="G87" s="6" t="s">
        <v>735</v>
      </c>
      <c r="H87" s="6" t="s">
        <v>736</v>
      </c>
      <c r="I87" s="6">
        <v>3</v>
      </c>
      <c r="J87" s="6" t="s">
        <v>1159</v>
      </c>
      <c r="K87" s="6" t="s">
        <v>1160</v>
      </c>
      <c r="L87" s="6" t="s">
        <v>1054</v>
      </c>
      <c r="M87" s="6" t="s">
        <v>1330</v>
      </c>
      <c r="N87" s="6" t="s">
        <v>1162</v>
      </c>
      <c r="O87" s="6" t="s">
        <v>1331</v>
      </c>
      <c r="P87" s="6" t="s">
        <v>1164</v>
      </c>
      <c r="Q87" s="6" t="s">
        <v>1165</v>
      </c>
      <c r="R87" s="6" t="s">
        <v>1166</v>
      </c>
      <c r="S87" s="6" t="s">
        <v>1057</v>
      </c>
      <c r="T87" s="6" t="s">
        <v>1058</v>
      </c>
      <c r="U87" s="6">
        <v>0.8</v>
      </c>
      <c r="V87" s="6" t="s">
        <v>1059</v>
      </c>
      <c r="W87" s="6" t="s">
        <v>1057</v>
      </c>
      <c r="X87" s="12" t="str">
        <f>IF(V87="Approved","Yes","No")</f>
        <v>Yes</v>
      </c>
      <c r="Y87" s="6" t="s">
        <v>1060</v>
      </c>
      <c r="Z87" s="6" t="s">
        <v>1332</v>
      </c>
      <c r="AA87" s="6" t="s">
        <v>1062</v>
      </c>
    </row>
    <row r="88" spans="1:27" ht="45" customHeight="1">
      <c r="A88" s="4" t="s">
        <v>1333</v>
      </c>
      <c r="B88" s="4" t="s">
        <v>1047</v>
      </c>
      <c r="C88" s="4" t="s">
        <v>1158</v>
      </c>
      <c r="D88" s="4" t="s">
        <v>493</v>
      </c>
      <c r="E88" s="4" t="s">
        <v>500</v>
      </c>
      <c r="F88" s="4" t="s">
        <v>501</v>
      </c>
      <c r="G88" s="4" t="s">
        <v>743</v>
      </c>
      <c r="H88" s="4" t="s">
        <v>744</v>
      </c>
      <c r="I88" s="4">
        <v>3</v>
      </c>
      <c r="J88" s="4" t="s">
        <v>1159</v>
      </c>
      <c r="K88" s="4" t="s">
        <v>1160</v>
      </c>
      <c r="L88" s="4" t="s">
        <v>1054</v>
      </c>
      <c r="M88" s="4" t="s">
        <v>1334</v>
      </c>
      <c r="N88" s="4" t="s">
        <v>1162</v>
      </c>
      <c r="O88" s="4" t="s">
        <v>1335</v>
      </c>
      <c r="P88" s="4" t="s">
        <v>1164</v>
      </c>
      <c r="Q88" s="4" t="s">
        <v>1165</v>
      </c>
      <c r="R88" s="4" t="s">
        <v>1166</v>
      </c>
      <c r="S88" s="4" t="s">
        <v>1057</v>
      </c>
      <c r="T88" s="4" t="s">
        <v>1058</v>
      </c>
      <c r="U88" s="4">
        <v>0.83</v>
      </c>
      <c r="V88" s="4" t="s">
        <v>1213</v>
      </c>
      <c r="W88" s="4" t="s">
        <v>1168</v>
      </c>
      <c r="X88" s="11" t="str">
        <f>IF(V88="Approved","Yes","No")</f>
        <v>No</v>
      </c>
      <c r="Y88" s="4" t="s">
        <v>1060</v>
      </c>
      <c r="Z88" s="4" t="s">
        <v>1336</v>
      </c>
      <c r="AA88" s="4" t="s">
        <v>1062</v>
      </c>
    </row>
    <row r="89" spans="1:27" ht="45" customHeight="1">
      <c r="A89" s="6" t="s">
        <v>1337</v>
      </c>
      <c r="B89" s="6" t="s">
        <v>1026</v>
      </c>
      <c r="C89" s="6" t="s">
        <v>1158</v>
      </c>
      <c r="D89" s="6" t="s">
        <v>464</v>
      </c>
      <c r="E89" s="6" t="s">
        <v>463</v>
      </c>
      <c r="F89" s="6" t="s">
        <v>466</v>
      </c>
      <c r="G89" s="6" t="s">
        <v>833</v>
      </c>
      <c r="H89" s="6" t="s">
        <v>834</v>
      </c>
      <c r="I89" s="6">
        <v>3</v>
      </c>
      <c r="J89" s="6" t="s">
        <v>1159</v>
      </c>
      <c r="K89" s="6" t="s">
        <v>1160</v>
      </c>
      <c r="L89" s="6" t="s">
        <v>1054</v>
      </c>
      <c r="M89" s="6" t="s">
        <v>1338</v>
      </c>
      <c r="N89" s="6" t="s">
        <v>1162</v>
      </c>
      <c r="O89" s="6" t="s">
        <v>1339</v>
      </c>
      <c r="P89" s="6" t="s">
        <v>1164</v>
      </c>
      <c r="Q89" s="6" t="s">
        <v>1165</v>
      </c>
      <c r="R89" s="6" t="s">
        <v>1166</v>
      </c>
      <c r="S89" s="6" t="s">
        <v>1168</v>
      </c>
      <c r="T89" s="6" t="s">
        <v>1058</v>
      </c>
      <c r="U89" s="6">
        <v>0.9</v>
      </c>
      <c r="V89" s="6" t="s">
        <v>1213</v>
      </c>
      <c r="W89" s="6" t="s">
        <v>1168</v>
      </c>
      <c r="X89" s="12" t="str">
        <f>IF(V89="Approved","Yes","No")</f>
        <v>No</v>
      </c>
      <c r="Y89" s="6" t="s">
        <v>1060</v>
      </c>
      <c r="Z89" s="6" t="s">
        <v>1340</v>
      </c>
      <c r="AA89" s="6" t="s">
        <v>1062</v>
      </c>
    </row>
    <row r="90" spans="1:27" ht="45" customHeight="1">
      <c r="A90" s="4" t="s">
        <v>1341</v>
      </c>
      <c r="B90" s="4" t="s">
        <v>1026</v>
      </c>
      <c r="C90" s="4" t="s">
        <v>1158</v>
      </c>
      <c r="D90" s="4" t="s">
        <v>464</v>
      </c>
      <c r="E90" s="4" t="s">
        <v>463</v>
      </c>
      <c r="F90" s="4" t="s">
        <v>466</v>
      </c>
      <c r="G90" s="4" t="s">
        <v>836</v>
      </c>
      <c r="H90" s="4" t="s">
        <v>837</v>
      </c>
      <c r="I90" s="4">
        <v>4</v>
      </c>
      <c r="J90" s="4" t="s">
        <v>1159</v>
      </c>
      <c r="K90" s="4" t="s">
        <v>1160</v>
      </c>
      <c r="L90" s="4" t="s">
        <v>1054</v>
      </c>
      <c r="M90" s="4" t="s">
        <v>1342</v>
      </c>
      <c r="N90" s="4" t="s">
        <v>1162</v>
      </c>
      <c r="O90" s="4" t="s">
        <v>1343</v>
      </c>
      <c r="P90" s="4" t="s">
        <v>1164</v>
      </c>
      <c r="Q90" s="4" t="s">
        <v>1165</v>
      </c>
      <c r="R90" s="4" t="s">
        <v>1166</v>
      </c>
      <c r="S90" s="4" t="s">
        <v>1168</v>
      </c>
      <c r="T90" s="4" t="s">
        <v>764</v>
      </c>
      <c r="U90" s="4">
        <v>0.87</v>
      </c>
      <c r="V90" s="4" t="s">
        <v>1059</v>
      </c>
      <c r="W90" s="4" t="s">
        <v>1057</v>
      </c>
      <c r="X90" s="11" t="str">
        <f>IF(V90="Approved","Yes","No")</f>
        <v>Yes</v>
      </c>
      <c r="Y90" s="4" t="s">
        <v>1060</v>
      </c>
      <c r="Z90" s="4" t="s">
        <v>1344</v>
      </c>
      <c r="AA90" s="4" t="s">
        <v>1062</v>
      </c>
    </row>
    <row r="91" spans="1:27" ht="45" customHeight="1">
      <c r="A91" s="6" t="s">
        <v>1345</v>
      </c>
      <c r="B91" s="6" t="s">
        <v>1026</v>
      </c>
      <c r="C91" s="6" t="s">
        <v>1158</v>
      </c>
      <c r="D91" s="6" t="s">
        <v>464</v>
      </c>
      <c r="E91" s="6" t="s">
        <v>463</v>
      </c>
      <c r="F91" s="6" t="s">
        <v>466</v>
      </c>
      <c r="G91" s="6" t="s">
        <v>839</v>
      </c>
      <c r="H91" s="6" t="s">
        <v>840</v>
      </c>
      <c r="I91" s="6">
        <v>3</v>
      </c>
      <c r="J91" s="6" t="s">
        <v>1159</v>
      </c>
      <c r="K91" s="6" t="s">
        <v>1160</v>
      </c>
      <c r="L91" s="6" t="s">
        <v>1054</v>
      </c>
      <c r="M91" s="6" t="s">
        <v>1346</v>
      </c>
      <c r="N91" s="6" t="s">
        <v>1162</v>
      </c>
      <c r="O91" s="6" t="s">
        <v>1347</v>
      </c>
      <c r="P91" s="6" t="s">
        <v>1164</v>
      </c>
      <c r="Q91" s="6" t="s">
        <v>1165</v>
      </c>
      <c r="R91" s="6" t="s">
        <v>1166</v>
      </c>
      <c r="S91" s="6" t="s">
        <v>1057</v>
      </c>
      <c r="T91" s="6" t="s">
        <v>1058</v>
      </c>
      <c r="U91" s="6">
        <v>0.83</v>
      </c>
      <c r="V91" s="6" t="s">
        <v>1167</v>
      </c>
      <c r="W91" s="6" t="s">
        <v>1168</v>
      </c>
      <c r="X91" s="12" t="str">
        <f>IF(V91="Approved","Yes","No")</f>
        <v>No</v>
      </c>
      <c r="Y91" s="6" t="s">
        <v>1060</v>
      </c>
      <c r="Z91" s="6" t="s">
        <v>1348</v>
      </c>
      <c r="AA91" s="6" t="s">
        <v>1062</v>
      </c>
    </row>
    <row r="92" spans="1:27" ht="45" customHeight="1">
      <c r="A92" s="4" t="s">
        <v>1349</v>
      </c>
      <c r="B92" s="4" t="s">
        <v>1026</v>
      </c>
      <c r="C92" s="4" t="s">
        <v>1158</v>
      </c>
      <c r="D92" s="4" t="s">
        <v>464</v>
      </c>
      <c r="E92" s="4" t="s">
        <v>463</v>
      </c>
      <c r="F92" s="4" t="s">
        <v>466</v>
      </c>
      <c r="G92" s="4" t="s">
        <v>842</v>
      </c>
      <c r="H92" s="4" t="s">
        <v>843</v>
      </c>
      <c r="I92" s="4">
        <v>4</v>
      </c>
      <c r="J92" s="4" t="s">
        <v>1159</v>
      </c>
      <c r="K92" s="4" t="s">
        <v>1160</v>
      </c>
      <c r="L92" s="4" t="s">
        <v>1054</v>
      </c>
      <c r="M92" s="4" t="s">
        <v>1350</v>
      </c>
      <c r="N92" s="4" t="s">
        <v>1162</v>
      </c>
      <c r="O92" s="4" t="s">
        <v>1351</v>
      </c>
      <c r="P92" s="4" t="s">
        <v>1164</v>
      </c>
      <c r="Q92" s="4" t="s">
        <v>1165</v>
      </c>
      <c r="R92" s="4" t="s">
        <v>1166</v>
      </c>
      <c r="S92" s="4" t="s">
        <v>1168</v>
      </c>
      <c r="T92" s="4" t="s">
        <v>764</v>
      </c>
      <c r="U92" s="4">
        <v>0.85</v>
      </c>
      <c r="V92" s="4" t="s">
        <v>1059</v>
      </c>
      <c r="W92" s="4" t="s">
        <v>1057</v>
      </c>
      <c r="X92" s="11" t="str">
        <f>IF(V92="Approved","Yes","No")</f>
        <v>Yes</v>
      </c>
      <c r="Y92" s="4" t="s">
        <v>1060</v>
      </c>
      <c r="Z92" s="4" t="s">
        <v>1352</v>
      </c>
      <c r="AA92" s="4" t="s">
        <v>1062</v>
      </c>
    </row>
    <row r="93" spans="1:27" ht="45" customHeight="1">
      <c r="A93" s="6" t="s">
        <v>1353</v>
      </c>
      <c r="B93" s="6" t="s">
        <v>1026</v>
      </c>
      <c r="C93" s="6" t="s">
        <v>1158</v>
      </c>
      <c r="D93" s="6" t="s">
        <v>464</v>
      </c>
      <c r="E93" s="6" t="s">
        <v>463</v>
      </c>
      <c r="F93" s="6" t="s">
        <v>466</v>
      </c>
      <c r="G93" s="6" t="s">
        <v>845</v>
      </c>
      <c r="H93" s="6" t="s">
        <v>846</v>
      </c>
      <c r="I93" s="6">
        <v>3</v>
      </c>
      <c r="J93" s="6" t="s">
        <v>1159</v>
      </c>
      <c r="K93" s="6" t="s">
        <v>1160</v>
      </c>
      <c r="L93" s="6" t="s">
        <v>1054</v>
      </c>
      <c r="M93" s="6" t="s">
        <v>1354</v>
      </c>
      <c r="N93" s="6" t="s">
        <v>1162</v>
      </c>
      <c r="O93" s="6" t="s">
        <v>1355</v>
      </c>
      <c r="P93" s="6" t="s">
        <v>1164</v>
      </c>
      <c r="Q93" s="6" t="s">
        <v>1165</v>
      </c>
      <c r="R93" s="6" t="s">
        <v>1166</v>
      </c>
      <c r="S93" s="6" t="s">
        <v>1057</v>
      </c>
      <c r="T93" s="6" t="s">
        <v>1058</v>
      </c>
      <c r="U93" s="6">
        <v>0.81</v>
      </c>
      <c r="V93" s="6" t="s">
        <v>1059</v>
      </c>
      <c r="W93" s="6" t="s">
        <v>1057</v>
      </c>
      <c r="X93" s="12" t="str">
        <f>IF(V93="Approved","Yes","No")</f>
        <v>Yes</v>
      </c>
      <c r="Y93" s="6" t="s">
        <v>1060</v>
      </c>
      <c r="Z93" s="6" t="s">
        <v>1356</v>
      </c>
      <c r="AA93" s="6" t="s">
        <v>1062</v>
      </c>
    </row>
    <row r="94" spans="1:27" ht="45" customHeight="1">
      <c r="A94" s="4" t="s">
        <v>1357</v>
      </c>
      <c r="B94" s="4" t="s">
        <v>1026</v>
      </c>
      <c r="C94" s="4" t="s">
        <v>1158</v>
      </c>
      <c r="D94" s="4" t="s">
        <v>464</v>
      </c>
      <c r="E94" s="4" t="s">
        <v>463</v>
      </c>
      <c r="F94" s="4" t="s">
        <v>466</v>
      </c>
      <c r="G94" s="4" t="s">
        <v>848</v>
      </c>
      <c r="H94" s="4" t="s">
        <v>849</v>
      </c>
      <c r="I94" s="4">
        <v>4</v>
      </c>
      <c r="J94" s="4" t="s">
        <v>1159</v>
      </c>
      <c r="K94" s="4" t="s">
        <v>1160</v>
      </c>
      <c r="L94" s="4" t="s">
        <v>1054</v>
      </c>
      <c r="M94" s="4" t="s">
        <v>1358</v>
      </c>
      <c r="N94" s="4" t="s">
        <v>1162</v>
      </c>
      <c r="O94" s="4" t="s">
        <v>1359</v>
      </c>
      <c r="P94" s="4" t="s">
        <v>1164</v>
      </c>
      <c r="Q94" s="4" t="s">
        <v>1165</v>
      </c>
      <c r="R94" s="4" t="s">
        <v>1166</v>
      </c>
      <c r="S94" s="4" t="s">
        <v>1057</v>
      </c>
      <c r="T94" s="4" t="s">
        <v>764</v>
      </c>
      <c r="U94" s="4">
        <v>0.92</v>
      </c>
      <c r="V94" s="4" t="s">
        <v>1167</v>
      </c>
      <c r="W94" s="4" t="s">
        <v>1168</v>
      </c>
      <c r="X94" s="11" t="str">
        <f>IF(V94="Approved","Yes","No")</f>
        <v>No</v>
      </c>
      <c r="Y94" s="4" t="s">
        <v>1060</v>
      </c>
      <c r="Z94" s="4" t="s">
        <v>1360</v>
      </c>
      <c r="AA94" s="4" t="s">
        <v>1062</v>
      </c>
    </row>
    <row r="95" spans="1:27" ht="45" customHeight="1">
      <c r="A95" s="6" t="s">
        <v>1361</v>
      </c>
      <c r="B95" s="6" t="s">
        <v>1026</v>
      </c>
      <c r="C95" s="6" t="s">
        <v>1158</v>
      </c>
      <c r="D95" s="6" t="s">
        <v>464</v>
      </c>
      <c r="E95" s="6" t="s">
        <v>463</v>
      </c>
      <c r="F95" s="6" t="s">
        <v>466</v>
      </c>
      <c r="G95" s="6" t="s">
        <v>851</v>
      </c>
      <c r="H95" s="6" t="s">
        <v>852</v>
      </c>
      <c r="I95" s="6">
        <v>4</v>
      </c>
      <c r="J95" s="6" t="s">
        <v>1159</v>
      </c>
      <c r="K95" s="6" t="s">
        <v>1160</v>
      </c>
      <c r="L95" s="6" t="s">
        <v>1054</v>
      </c>
      <c r="M95" s="6" t="s">
        <v>1362</v>
      </c>
      <c r="N95" s="6" t="s">
        <v>1162</v>
      </c>
      <c r="O95" s="6" t="s">
        <v>1363</v>
      </c>
      <c r="P95" s="6" t="s">
        <v>1164</v>
      </c>
      <c r="Q95" s="6" t="s">
        <v>1165</v>
      </c>
      <c r="R95" s="6" t="s">
        <v>1166</v>
      </c>
      <c r="S95" s="6" t="s">
        <v>1057</v>
      </c>
      <c r="T95" s="6" t="s">
        <v>764</v>
      </c>
      <c r="U95" s="6">
        <v>0.78</v>
      </c>
      <c r="V95" s="6" t="s">
        <v>1167</v>
      </c>
      <c r="W95" s="6" t="s">
        <v>1168</v>
      </c>
      <c r="X95" s="12" t="str">
        <f>IF(V95="Approved","Yes","No")</f>
        <v>No</v>
      </c>
      <c r="Y95" s="6" t="s">
        <v>1060</v>
      </c>
      <c r="Z95" s="6" t="s">
        <v>1364</v>
      </c>
      <c r="AA95" s="6" t="s">
        <v>1062</v>
      </c>
    </row>
    <row r="96" spans="1:27" ht="45" customHeight="1">
      <c r="A96" s="4" t="s">
        <v>1365</v>
      </c>
      <c r="B96" s="4" t="s">
        <v>1026</v>
      </c>
      <c r="C96" s="4" t="s">
        <v>1158</v>
      </c>
      <c r="D96" s="4" t="s">
        <v>464</v>
      </c>
      <c r="E96" s="4" t="s">
        <v>463</v>
      </c>
      <c r="F96" s="4" t="s">
        <v>466</v>
      </c>
      <c r="G96" s="4" t="s">
        <v>854</v>
      </c>
      <c r="H96" s="4" t="s">
        <v>855</v>
      </c>
      <c r="I96" s="4">
        <v>4</v>
      </c>
      <c r="J96" s="4" t="s">
        <v>1159</v>
      </c>
      <c r="K96" s="4" t="s">
        <v>1160</v>
      </c>
      <c r="L96" s="4" t="s">
        <v>1054</v>
      </c>
      <c r="M96" s="4" t="s">
        <v>1366</v>
      </c>
      <c r="N96" s="4" t="s">
        <v>1162</v>
      </c>
      <c r="O96" s="4" t="s">
        <v>1367</v>
      </c>
      <c r="P96" s="4" t="s">
        <v>1164</v>
      </c>
      <c r="Q96" s="4" t="s">
        <v>1165</v>
      </c>
      <c r="R96" s="4" t="s">
        <v>1166</v>
      </c>
      <c r="S96" s="4" t="s">
        <v>1168</v>
      </c>
      <c r="T96" s="4" t="s">
        <v>764</v>
      </c>
      <c r="U96" s="4">
        <v>0.76</v>
      </c>
      <c r="V96" s="4" t="s">
        <v>1167</v>
      </c>
      <c r="W96" s="4" t="s">
        <v>1168</v>
      </c>
      <c r="X96" s="11" t="str">
        <f>IF(V96="Approved","Yes","No")</f>
        <v>No</v>
      </c>
      <c r="Y96" s="4" t="s">
        <v>1060</v>
      </c>
      <c r="Z96" s="4" t="s">
        <v>1368</v>
      </c>
      <c r="AA96" s="4" t="s">
        <v>1062</v>
      </c>
    </row>
    <row r="97" spans="1:27" ht="45" customHeight="1">
      <c r="A97" s="6" t="s">
        <v>1369</v>
      </c>
      <c r="B97" s="6" t="s">
        <v>1026</v>
      </c>
      <c r="C97" s="6" t="s">
        <v>1158</v>
      </c>
      <c r="D97" s="6" t="s">
        <v>464</v>
      </c>
      <c r="E97" s="6" t="s">
        <v>463</v>
      </c>
      <c r="F97" s="6" t="s">
        <v>466</v>
      </c>
      <c r="G97" s="6" t="s">
        <v>857</v>
      </c>
      <c r="H97" s="6" t="s">
        <v>858</v>
      </c>
      <c r="I97" s="6">
        <v>4</v>
      </c>
      <c r="J97" s="6" t="s">
        <v>1159</v>
      </c>
      <c r="K97" s="6" t="s">
        <v>1160</v>
      </c>
      <c r="L97" s="6" t="s">
        <v>1054</v>
      </c>
      <c r="M97" s="6" t="s">
        <v>1370</v>
      </c>
      <c r="N97" s="6" t="s">
        <v>1162</v>
      </c>
      <c r="O97" s="6" t="s">
        <v>1371</v>
      </c>
      <c r="P97" s="6" t="s">
        <v>1164</v>
      </c>
      <c r="Q97" s="6" t="s">
        <v>1165</v>
      </c>
      <c r="R97" s="6" t="s">
        <v>1166</v>
      </c>
      <c r="S97" s="6" t="s">
        <v>1057</v>
      </c>
      <c r="T97" s="6" t="s">
        <v>764</v>
      </c>
      <c r="U97" s="6">
        <v>0.9</v>
      </c>
      <c r="V97" s="6" t="s">
        <v>1213</v>
      </c>
      <c r="W97" s="6" t="s">
        <v>1168</v>
      </c>
      <c r="X97" s="12" t="str">
        <f>IF(V97="Approved","Yes","No")</f>
        <v>No</v>
      </c>
      <c r="Y97" s="6" t="s">
        <v>1060</v>
      </c>
      <c r="Z97" s="6" t="s">
        <v>1372</v>
      </c>
      <c r="AA97" s="6" t="s">
        <v>1062</v>
      </c>
    </row>
    <row r="98" spans="1:27" ht="45" customHeight="1">
      <c r="A98" s="4" t="s">
        <v>1373</v>
      </c>
      <c r="B98" s="4" t="s">
        <v>1026</v>
      </c>
      <c r="C98" s="4" t="s">
        <v>1158</v>
      </c>
      <c r="D98" s="4" t="s">
        <v>464</v>
      </c>
      <c r="E98" s="4" t="s">
        <v>463</v>
      </c>
      <c r="F98" s="4" t="s">
        <v>466</v>
      </c>
      <c r="G98" s="4" t="s">
        <v>860</v>
      </c>
      <c r="H98" s="4" t="s">
        <v>861</v>
      </c>
      <c r="I98" s="4">
        <v>4</v>
      </c>
      <c r="J98" s="4" t="s">
        <v>1159</v>
      </c>
      <c r="K98" s="4" t="s">
        <v>1160</v>
      </c>
      <c r="L98" s="4" t="s">
        <v>1054</v>
      </c>
      <c r="M98" s="4" t="s">
        <v>1374</v>
      </c>
      <c r="N98" s="4" t="s">
        <v>1162</v>
      </c>
      <c r="O98" s="4" t="s">
        <v>1375</v>
      </c>
      <c r="P98" s="4" t="s">
        <v>1164</v>
      </c>
      <c r="Q98" s="4" t="s">
        <v>1165</v>
      </c>
      <c r="R98" s="4" t="s">
        <v>1166</v>
      </c>
      <c r="S98" s="4" t="s">
        <v>1057</v>
      </c>
      <c r="T98" s="4" t="s">
        <v>764</v>
      </c>
      <c r="U98" s="4">
        <v>0.85</v>
      </c>
      <c r="V98" s="4" t="s">
        <v>1059</v>
      </c>
      <c r="W98" s="4" t="s">
        <v>1057</v>
      </c>
      <c r="X98" s="11" t="str">
        <f>IF(V98="Approved","Yes","No")</f>
        <v>Yes</v>
      </c>
      <c r="Y98" s="4" t="s">
        <v>1060</v>
      </c>
      <c r="Z98" s="4" t="s">
        <v>1376</v>
      </c>
      <c r="AA98" s="4" t="s">
        <v>1062</v>
      </c>
    </row>
    <row r="99" spans="1:27" ht="45" customHeight="1">
      <c r="A99" s="6" t="s">
        <v>1377</v>
      </c>
      <c r="B99" s="6" t="s">
        <v>1035</v>
      </c>
      <c r="C99" s="6" t="s">
        <v>1158</v>
      </c>
      <c r="D99" s="6" t="s">
        <v>464</v>
      </c>
      <c r="E99" s="6" t="s">
        <v>475</v>
      </c>
      <c r="F99" s="6" t="s">
        <v>477</v>
      </c>
      <c r="G99" s="6" t="s">
        <v>833</v>
      </c>
      <c r="H99" s="6" t="s">
        <v>834</v>
      </c>
      <c r="I99" s="6">
        <v>3</v>
      </c>
      <c r="J99" s="6" t="s">
        <v>1159</v>
      </c>
      <c r="K99" s="6" t="s">
        <v>1160</v>
      </c>
      <c r="L99" s="6" t="s">
        <v>1054</v>
      </c>
      <c r="M99" s="6" t="s">
        <v>1378</v>
      </c>
      <c r="N99" s="6" t="s">
        <v>1162</v>
      </c>
      <c r="O99" s="6" t="s">
        <v>1339</v>
      </c>
      <c r="P99" s="6" t="s">
        <v>1164</v>
      </c>
      <c r="Q99" s="6" t="s">
        <v>1165</v>
      </c>
      <c r="R99" s="6" t="s">
        <v>1166</v>
      </c>
      <c r="S99" s="6" t="s">
        <v>1168</v>
      </c>
      <c r="T99" s="6" t="s">
        <v>1058</v>
      </c>
      <c r="U99" s="6">
        <v>0.75</v>
      </c>
      <c r="V99" s="6" t="s">
        <v>1167</v>
      </c>
      <c r="W99" s="6" t="s">
        <v>1168</v>
      </c>
      <c r="X99" s="12" t="str">
        <f>IF(V99="Approved","Yes","No")</f>
        <v>No</v>
      </c>
      <c r="Y99" s="6" t="s">
        <v>1060</v>
      </c>
      <c r="Z99" s="6" t="s">
        <v>1379</v>
      </c>
      <c r="AA99" s="6" t="s">
        <v>1062</v>
      </c>
    </row>
    <row r="100" spans="1:27" ht="45" customHeight="1">
      <c r="A100" s="4" t="s">
        <v>1380</v>
      </c>
      <c r="B100" s="4" t="s">
        <v>1035</v>
      </c>
      <c r="C100" s="4" t="s">
        <v>1158</v>
      </c>
      <c r="D100" s="4" t="s">
        <v>464</v>
      </c>
      <c r="E100" s="4" t="s">
        <v>475</v>
      </c>
      <c r="F100" s="4" t="s">
        <v>477</v>
      </c>
      <c r="G100" s="4" t="s">
        <v>836</v>
      </c>
      <c r="H100" s="4" t="s">
        <v>837</v>
      </c>
      <c r="I100" s="4">
        <v>4</v>
      </c>
      <c r="J100" s="4" t="s">
        <v>1159</v>
      </c>
      <c r="K100" s="4" t="s">
        <v>1160</v>
      </c>
      <c r="L100" s="4" t="s">
        <v>1054</v>
      </c>
      <c r="M100" s="4" t="s">
        <v>1381</v>
      </c>
      <c r="N100" s="4" t="s">
        <v>1162</v>
      </c>
      <c r="O100" s="4" t="s">
        <v>1343</v>
      </c>
      <c r="P100" s="4" t="s">
        <v>1164</v>
      </c>
      <c r="Q100" s="4" t="s">
        <v>1165</v>
      </c>
      <c r="R100" s="4" t="s">
        <v>1166</v>
      </c>
      <c r="S100" s="4" t="s">
        <v>1168</v>
      </c>
      <c r="T100" s="4" t="s">
        <v>764</v>
      </c>
      <c r="U100" s="4">
        <v>0.83</v>
      </c>
      <c r="V100" s="4" t="s">
        <v>1167</v>
      </c>
      <c r="W100" s="4" t="s">
        <v>1168</v>
      </c>
      <c r="X100" s="11" t="str">
        <f>IF(V100="Approved","Yes","No")</f>
        <v>No</v>
      </c>
      <c r="Y100" s="4" t="s">
        <v>1060</v>
      </c>
      <c r="Z100" s="4" t="s">
        <v>1382</v>
      </c>
      <c r="AA100" s="4" t="s">
        <v>1062</v>
      </c>
    </row>
    <row r="101" spans="1:27" ht="45" customHeight="1">
      <c r="A101" s="6" t="s">
        <v>1383</v>
      </c>
      <c r="B101" s="6" t="s">
        <v>1035</v>
      </c>
      <c r="C101" s="6" t="s">
        <v>1158</v>
      </c>
      <c r="D101" s="6" t="s">
        <v>464</v>
      </c>
      <c r="E101" s="6" t="s">
        <v>475</v>
      </c>
      <c r="F101" s="6" t="s">
        <v>477</v>
      </c>
      <c r="G101" s="6" t="s">
        <v>842</v>
      </c>
      <c r="H101" s="6" t="s">
        <v>843</v>
      </c>
      <c r="I101" s="6">
        <v>4</v>
      </c>
      <c r="J101" s="6" t="s">
        <v>1159</v>
      </c>
      <c r="K101" s="6" t="s">
        <v>1160</v>
      </c>
      <c r="L101" s="6" t="s">
        <v>1054</v>
      </c>
      <c r="M101" s="6" t="s">
        <v>1384</v>
      </c>
      <c r="N101" s="6" t="s">
        <v>1162</v>
      </c>
      <c r="O101" s="6" t="s">
        <v>1351</v>
      </c>
      <c r="P101" s="6" t="s">
        <v>1164</v>
      </c>
      <c r="Q101" s="6" t="s">
        <v>1165</v>
      </c>
      <c r="R101" s="6" t="s">
        <v>1166</v>
      </c>
      <c r="S101" s="6" t="s">
        <v>1168</v>
      </c>
      <c r="T101" s="6" t="s">
        <v>764</v>
      </c>
      <c r="U101" s="6">
        <v>0.83</v>
      </c>
      <c r="V101" s="6" t="s">
        <v>1167</v>
      </c>
      <c r="W101" s="6" t="s">
        <v>1168</v>
      </c>
      <c r="X101" s="12" t="str">
        <f>IF(V101="Approved","Yes","No")</f>
        <v>No</v>
      </c>
      <c r="Y101" s="6" t="s">
        <v>1060</v>
      </c>
      <c r="Z101" s="6" t="s">
        <v>1385</v>
      </c>
      <c r="AA101" s="6" t="s">
        <v>1062</v>
      </c>
    </row>
    <row r="102" spans="1:27" ht="45" customHeight="1">
      <c r="A102" s="4" t="s">
        <v>1386</v>
      </c>
      <c r="B102" s="4" t="s">
        <v>1035</v>
      </c>
      <c r="C102" s="4" t="s">
        <v>1158</v>
      </c>
      <c r="D102" s="4" t="s">
        <v>464</v>
      </c>
      <c r="E102" s="4" t="s">
        <v>475</v>
      </c>
      <c r="F102" s="4" t="s">
        <v>477</v>
      </c>
      <c r="G102" s="4" t="s">
        <v>866</v>
      </c>
      <c r="H102" s="4" t="s">
        <v>867</v>
      </c>
      <c r="I102" s="4">
        <v>4</v>
      </c>
      <c r="J102" s="4" t="s">
        <v>1159</v>
      </c>
      <c r="K102" s="4" t="s">
        <v>1160</v>
      </c>
      <c r="L102" s="4" t="s">
        <v>1054</v>
      </c>
      <c r="M102" s="4" t="s">
        <v>1387</v>
      </c>
      <c r="N102" s="4" t="s">
        <v>1162</v>
      </c>
      <c r="O102" s="4" t="s">
        <v>1388</v>
      </c>
      <c r="P102" s="4" t="s">
        <v>1164</v>
      </c>
      <c r="Q102" s="4" t="s">
        <v>1165</v>
      </c>
      <c r="R102" s="4" t="s">
        <v>1166</v>
      </c>
      <c r="S102" s="4" t="s">
        <v>1057</v>
      </c>
      <c r="T102" s="4" t="s">
        <v>764</v>
      </c>
      <c r="U102" s="4">
        <v>0.79</v>
      </c>
      <c r="V102" s="4" t="s">
        <v>1059</v>
      </c>
      <c r="W102" s="4" t="s">
        <v>1057</v>
      </c>
      <c r="X102" s="11" t="str">
        <f>IF(V102="Approved","Yes","No")</f>
        <v>Yes</v>
      </c>
      <c r="Y102" s="4" t="s">
        <v>1060</v>
      </c>
      <c r="Z102" s="4" t="s">
        <v>1389</v>
      </c>
      <c r="AA102" s="4" t="s">
        <v>1062</v>
      </c>
    </row>
    <row r="103" spans="1:27" ht="45" customHeight="1">
      <c r="A103" s="6" t="s">
        <v>1390</v>
      </c>
      <c r="B103" s="6" t="s">
        <v>1035</v>
      </c>
      <c r="C103" s="6" t="s">
        <v>1158</v>
      </c>
      <c r="D103" s="6" t="s">
        <v>464</v>
      </c>
      <c r="E103" s="6" t="s">
        <v>475</v>
      </c>
      <c r="F103" s="6" t="s">
        <v>477</v>
      </c>
      <c r="G103" s="6" t="s">
        <v>869</v>
      </c>
      <c r="H103" s="6" t="s">
        <v>870</v>
      </c>
      <c r="I103" s="6">
        <v>4</v>
      </c>
      <c r="J103" s="6" t="s">
        <v>1159</v>
      </c>
      <c r="K103" s="6" t="s">
        <v>1160</v>
      </c>
      <c r="L103" s="6" t="s">
        <v>1054</v>
      </c>
      <c r="M103" s="6" t="s">
        <v>1391</v>
      </c>
      <c r="N103" s="6" t="s">
        <v>1162</v>
      </c>
      <c r="O103" s="6" t="s">
        <v>1392</v>
      </c>
      <c r="P103" s="6" t="s">
        <v>1164</v>
      </c>
      <c r="Q103" s="6" t="s">
        <v>1165</v>
      </c>
      <c r="R103" s="6" t="s">
        <v>1166</v>
      </c>
      <c r="S103" s="6" t="s">
        <v>1057</v>
      </c>
      <c r="T103" s="6" t="s">
        <v>764</v>
      </c>
      <c r="U103" s="6">
        <v>0.92</v>
      </c>
      <c r="V103" s="6" t="s">
        <v>1059</v>
      </c>
      <c r="W103" s="6" t="s">
        <v>1057</v>
      </c>
      <c r="X103" s="12" t="str">
        <f>IF(V103="Approved","Yes","No")</f>
        <v>Yes</v>
      </c>
      <c r="Y103" s="6" t="s">
        <v>1060</v>
      </c>
      <c r="Z103" s="6" t="s">
        <v>1393</v>
      </c>
      <c r="AA103" s="6" t="s">
        <v>1062</v>
      </c>
    </row>
    <row r="104" spans="1:27" ht="45" customHeight="1">
      <c r="A104" s="4" t="s">
        <v>1394</v>
      </c>
      <c r="B104" s="4" t="s">
        <v>1035</v>
      </c>
      <c r="C104" s="4" t="s">
        <v>1158</v>
      </c>
      <c r="D104" s="4" t="s">
        <v>464</v>
      </c>
      <c r="E104" s="4" t="s">
        <v>475</v>
      </c>
      <c r="F104" s="4" t="s">
        <v>477</v>
      </c>
      <c r="G104" s="4" t="s">
        <v>848</v>
      </c>
      <c r="H104" s="4" t="s">
        <v>849</v>
      </c>
      <c r="I104" s="4">
        <v>4</v>
      </c>
      <c r="J104" s="4" t="s">
        <v>1159</v>
      </c>
      <c r="K104" s="4" t="s">
        <v>1160</v>
      </c>
      <c r="L104" s="4" t="s">
        <v>1054</v>
      </c>
      <c r="M104" s="4" t="s">
        <v>1395</v>
      </c>
      <c r="N104" s="4" t="s">
        <v>1162</v>
      </c>
      <c r="O104" s="4" t="s">
        <v>1359</v>
      </c>
      <c r="P104" s="4" t="s">
        <v>1164</v>
      </c>
      <c r="Q104" s="4" t="s">
        <v>1165</v>
      </c>
      <c r="R104" s="4" t="s">
        <v>1166</v>
      </c>
      <c r="S104" s="4" t="s">
        <v>1057</v>
      </c>
      <c r="T104" s="4" t="s">
        <v>764</v>
      </c>
      <c r="U104" s="4">
        <v>0.89</v>
      </c>
      <c r="V104" s="4" t="s">
        <v>1167</v>
      </c>
      <c r="W104" s="4" t="s">
        <v>1168</v>
      </c>
      <c r="X104" s="11" t="str">
        <f>IF(V104="Approved","Yes","No")</f>
        <v>No</v>
      </c>
      <c r="Y104" s="4" t="s">
        <v>1060</v>
      </c>
      <c r="Z104" s="4" t="s">
        <v>1396</v>
      </c>
      <c r="AA104" s="4" t="s">
        <v>1062</v>
      </c>
    </row>
    <row r="105" spans="1:27" ht="45" customHeight="1">
      <c r="A105" s="6" t="s">
        <v>1397</v>
      </c>
      <c r="B105" s="6" t="s">
        <v>1035</v>
      </c>
      <c r="C105" s="6" t="s">
        <v>1158</v>
      </c>
      <c r="D105" s="6" t="s">
        <v>464</v>
      </c>
      <c r="E105" s="6" t="s">
        <v>475</v>
      </c>
      <c r="F105" s="6" t="s">
        <v>477</v>
      </c>
      <c r="G105" s="6" t="s">
        <v>851</v>
      </c>
      <c r="H105" s="6" t="s">
        <v>852</v>
      </c>
      <c r="I105" s="6">
        <v>4</v>
      </c>
      <c r="J105" s="6" t="s">
        <v>1159</v>
      </c>
      <c r="K105" s="6" t="s">
        <v>1160</v>
      </c>
      <c r="L105" s="6" t="s">
        <v>1054</v>
      </c>
      <c r="M105" s="6" t="s">
        <v>1398</v>
      </c>
      <c r="N105" s="6" t="s">
        <v>1162</v>
      </c>
      <c r="O105" s="6" t="s">
        <v>1363</v>
      </c>
      <c r="P105" s="6" t="s">
        <v>1164</v>
      </c>
      <c r="Q105" s="6" t="s">
        <v>1165</v>
      </c>
      <c r="R105" s="6" t="s">
        <v>1166</v>
      </c>
      <c r="S105" s="6" t="s">
        <v>1057</v>
      </c>
      <c r="T105" s="6" t="s">
        <v>764</v>
      </c>
      <c r="U105" s="6">
        <v>0.73</v>
      </c>
      <c r="V105" s="6" t="s">
        <v>1059</v>
      </c>
      <c r="W105" s="6" t="s">
        <v>1057</v>
      </c>
      <c r="X105" s="12" t="str">
        <f>IF(V105="Approved","Yes","No")</f>
        <v>Yes</v>
      </c>
      <c r="Y105" s="6" t="s">
        <v>1060</v>
      </c>
      <c r="Z105" s="6" t="s">
        <v>1399</v>
      </c>
      <c r="AA105" s="6" t="s">
        <v>1062</v>
      </c>
    </row>
    <row r="106" spans="1:27" ht="45" customHeight="1">
      <c r="A106" s="4" t="s">
        <v>1400</v>
      </c>
      <c r="B106" s="4" t="s">
        <v>1035</v>
      </c>
      <c r="C106" s="4" t="s">
        <v>1158</v>
      </c>
      <c r="D106" s="4" t="s">
        <v>464</v>
      </c>
      <c r="E106" s="4" t="s">
        <v>475</v>
      </c>
      <c r="F106" s="4" t="s">
        <v>477</v>
      </c>
      <c r="G106" s="4" t="s">
        <v>854</v>
      </c>
      <c r="H106" s="4" t="s">
        <v>855</v>
      </c>
      <c r="I106" s="4">
        <v>4</v>
      </c>
      <c r="J106" s="4" t="s">
        <v>1159</v>
      </c>
      <c r="K106" s="4" t="s">
        <v>1160</v>
      </c>
      <c r="L106" s="4" t="s">
        <v>1054</v>
      </c>
      <c r="M106" s="4" t="s">
        <v>1401</v>
      </c>
      <c r="N106" s="4" t="s">
        <v>1162</v>
      </c>
      <c r="O106" s="4" t="s">
        <v>1367</v>
      </c>
      <c r="P106" s="4" t="s">
        <v>1164</v>
      </c>
      <c r="Q106" s="4" t="s">
        <v>1165</v>
      </c>
      <c r="R106" s="4" t="s">
        <v>1166</v>
      </c>
      <c r="S106" s="4" t="s">
        <v>1168</v>
      </c>
      <c r="T106" s="4" t="s">
        <v>764</v>
      </c>
      <c r="U106" s="4">
        <v>0.92</v>
      </c>
      <c r="V106" s="4" t="s">
        <v>1167</v>
      </c>
      <c r="W106" s="4" t="s">
        <v>1168</v>
      </c>
      <c r="X106" s="11" t="str">
        <f>IF(V106="Approved","Yes","No")</f>
        <v>No</v>
      </c>
      <c r="Y106" s="4" t="s">
        <v>1060</v>
      </c>
      <c r="Z106" s="4" t="s">
        <v>1402</v>
      </c>
      <c r="AA106" s="4" t="s">
        <v>1062</v>
      </c>
    </row>
    <row r="107" spans="1:27" ht="45" customHeight="1">
      <c r="A107" s="6" t="s">
        <v>1403</v>
      </c>
      <c r="B107" s="6" t="s">
        <v>1035</v>
      </c>
      <c r="C107" s="6" t="s">
        <v>1158</v>
      </c>
      <c r="D107" s="6" t="s">
        <v>464</v>
      </c>
      <c r="E107" s="6" t="s">
        <v>475</v>
      </c>
      <c r="F107" s="6" t="s">
        <v>477</v>
      </c>
      <c r="G107" s="6" t="s">
        <v>857</v>
      </c>
      <c r="H107" s="6" t="s">
        <v>858</v>
      </c>
      <c r="I107" s="6">
        <v>4</v>
      </c>
      <c r="J107" s="6" t="s">
        <v>1159</v>
      </c>
      <c r="K107" s="6" t="s">
        <v>1160</v>
      </c>
      <c r="L107" s="6" t="s">
        <v>1054</v>
      </c>
      <c r="M107" s="6" t="s">
        <v>1404</v>
      </c>
      <c r="N107" s="6" t="s">
        <v>1162</v>
      </c>
      <c r="O107" s="6" t="s">
        <v>1371</v>
      </c>
      <c r="P107" s="6" t="s">
        <v>1164</v>
      </c>
      <c r="Q107" s="6" t="s">
        <v>1165</v>
      </c>
      <c r="R107" s="6" t="s">
        <v>1166</v>
      </c>
      <c r="S107" s="6" t="s">
        <v>1057</v>
      </c>
      <c r="T107" s="6" t="s">
        <v>764</v>
      </c>
      <c r="U107" s="6">
        <v>0.82</v>
      </c>
      <c r="V107" s="6" t="s">
        <v>1059</v>
      </c>
      <c r="W107" s="6" t="s">
        <v>1057</v>
      </c>
      <c r="X107" s="12" t="str">
        <f>IF(V107="Approved","Yes","No")</f>
        <v>Yes</v>
      </c>
      <c r="Y107" s="6" t="s">
        <v>1060</v>
      </c>
      <c r="Z107" s="6" t="s">
        <v>1405</v>
      </c>
      <c r="AA107" s="6" t="s">
        <v>1062</v>
      </c>
    </row>
    <row r="108" spans="1:27" ht="45" customHeight="1">
      <c r="A108" s="4" t="s">
        <v>1406</v>
      </c>
      <c r="B108" s="4" t="s">
        <v>1035</v>
      </c>
      <c r="C108" s="4" t="s">
        <v>1158</v>
      </c>
      <c r="D108" s="4" t="s">
        <v>464</v>
      </c>
      <c r="E108" s="4" t="s">
        <v>475</v>
      </c>
      <c r="F108" s="4" t="s">
        <v>477</v>
      </c>
      <c r="G108" s="4" t="s">
        <v>860</v>
      </c>
      <c r="H108" s="4" t="s">
        <v>861</v>
      </c>
      <c r="I108" s="4">
        <v>4</v>
      </c>
      <c r="J108" s="4" t="s">
        <v>1159</v>
      </c>
      <c r="K108" s="4" t="s">
        <v>1160</v>
      </c>
      <c r="L108" s="4" t="s">
        <v>1054</v>
      </c>
      <c r="M108" s="4" t="s">
        <v>1407</v>
      </c>
      <c r="N108" s="4" t="s">
        <v>1162</v>
      </c>
      <c r="O108" s="4" t="s">
        <v>1375</v>
      </c>
      <c r="P108" s="4" t="s">
        <v>1164</v>
      </c>
      <c r="Q108" s="4" t="s">
        <v>1165</v>
      </c>
      <c r="R108" s="4" t="s">
        <v>1166</v>
      </c>
      <c r="S108" s="4" t="s">
        <v>1057</v>
      </c>
      <c r="T108" s="4" t="s">
        <v>764</v>
      </c>
      <c r="U108" s="4">
        <v>0.88</v>
      </c>
      <c r="V108" s="4" t="s">
        <v>1059</v>
      </c>
      <c r="W108" s="4" t="s">
        <v>1057</v>
      </c>
      <c r="X108" s="11" t="str">
        <f>IF(V108="Approved","Yes","No")</f>
        <v>Yes</v>
      </c>
      <c r="Y108" s="4" t="s">
        <v>1060</v>
      </c>
      <c r="Z108" s="4" t="s">
        <v>1408</v>
      </c>
      <c r="AA108" s="4" t="s">
        <v>1062</v>
      </c>
    </row>
    <row r="109" spans="1:27" ht="45" customHeight="1">
      <c r="A109" s="6" t="s">
        <v>1409</v>
      </c>
      <c r="B109" s="6" t="s">
        <v>1033</v>
      </c>
      <c r="C109" s="6" t="s">
        <v>1158</v>
      </c>
      <c r="D109" s="6" t="s">
        <v>464</v>
      </c>
      <c r="E109" s="6" t="s">
        <v>471</v>
      </c>
      <c r="F109" s="6" t="s">
        <v>473</v>
      </c>
      <c r="G109" s="6" t="s">
        <v>833</v>
      </c>
      <c r="H109" s="6" t="s">
        <v>834</v>
      </c>
      <c r="I109" s="6">
        <v>3</v>
      </c>
      <c r="J109" s="6" t="s">
        <v>1159</v>
      </c>
      <c r="K109" s="6" t="s">
        <v>1160</v>
      </c>
      <c r="L109" s="6" t="s">
        <v>1054</v>
      </c>
      <c r="M109" s="6" t="s">
        <v>1410</v>
      </c>
      <c r="N109" s="6" t="s">
        <v>1162</v>
      </c>
      <c r="O109" s="6" t="s">
        <v>1339</v>
      </c>
      <c r="P109" s="6" t="s">
        <v>1164</v>
      </c>
      <c r="Q109" s="6" t="s">
        <v>1165</v>
      </c>
      <c r="R109" s="6" t="s">
        <v>1166</v>
      </c>
      <c r="S109" s="6" t="s">
        <v>1168</v>
      </c>
      <c r="T109" s="6" t="s">
        <v>1058</v>
      </c>
      <c r="U109" s="6">
        <v>0.75</v>
      </c>
      <c r="V109" s="6" t="s">
        <v>1167</v>
      </c>
      <c r="W109" s="6" t="s">
        <v>1168</v>
      </c>
      <c r="X109" s="12" t="str">
        <f>IF(V109="Approved","Yes","No")</f>
        <v>No</v>
      </c>
      <c r="Y109" s="6" t="s">
        <v>1060</v>
      </c>
      <c r="Z109" s="6" t="s">
        <v>1411</v>
      </c>
      <c r="AA109" s="6" t="s">
        <v>1062</v>
      </c>
    </row>
    <row r="110" spans="1:27" ht="45" customHeight="1">
      <c r="A110" s="4" t="s">
        <v>1412</v>
      </c>
      <c r="B110" s="4" t="s">
        <v>1033</v>
      </c>
      <c r="C110" s="4" t="s">
        <v>1158</v>
      </c>
      <c r="D110" s="4" t="s">
        <v>464</v>
      </c>
      <c r="E110" s="4" t="s">
        <v>471</v>
      </c>
      <c r="F110" s="4" t="s">
        <v>473</v>
      </c>
      <c r="G110" s="4" t="s">
        <v>836</v>
      </c>
      <c r="H110" s="4" t="s">
        <v>837</v>
      </c>
      <c r="I110" s="4">
        <v>4</v>
      </c>
      <c r="J110" s="4" t="s">
        <v>1159</v>
      </c>
      <c r="K110" s="4" t="s">
        <v>1160</v>
      </c>
      <c r="L110" s="4" t="s">
        <v>1054</v>
      </c>
      <c r="M110" s="4" t="s">
        <v>1413</v>
      </c>
      <c r="N110" s="4" t="s">
        <v>1162</v>
      </c>
      <c r="O110" s="4" t="s">
        <v>1343</v>
      </c>
      <c r="P110" s="4" t="s">
        <v>1164</v>
      </c>
      <c r="Q110" s="4" t="s">
        <v>1165</v>
      </c>
      <c r="R110" s="4" t="s">
        <v>1166</v>
      </c>
      <c r="S110" s="4" t="s">
        <v>1168</v>
      </c>
      <c r="T110" s="4" t="s">
        <v>764</v>
      </c>
      <c r="U110" s="4">
        <v>0.84</v>
      </c>
      <c r="V110" s="4" t="s">
        <v>1167</v>
      </c>
      <c r="W110" s="4" t="s">
        <v>1168</v>
      </c>
      <c r="X110" s="11" t="str">
        <f>IF(V110="Approved","Yes","No")</f>
        <v>No</v>
      </c>
      <c r="Y110" s="4" t="s">
        <v>1060</v>
      </c>
      <c r="Z110" s="4" t="s">
        <v>1414</v>
      </c>
      <c r="AA110" s="4" t="s">
        <v>1062</v>
      </c>
    </row>
    <row r="111" spans="1:27" ht="45" customHeight="1">
      <c r="A111" s="6" t="s">
        <v>1415</v>
      </c>
      <c r="B111" s="6" t="s">
        <v>1033</v>
      </c>
      <c r="C111" s="6" t="s">
        <v>1158</v>
      </c>
      <c r="D111" s="6" t="s">
        <v>464</v>
      </c>
      <c r="E111" s="6" t="s">
        <v>471</v>
      </c>
      <c r="F111" s="6" t="s">
        <v>473</v>
      </c>
      <c r="G111" s="6" t="s">
        <v>839</v>
      </c>
      <c r="H111" s="6" t="s">
        <v>840</v>
      </c>
      <c r="I111" s="6">
        <v>3</v>
      </c>
      <c r="J111" s="6" t="s">
        <v>1159</v>
      </c>
      <c r="K111" s="6" t="s">
        <v>1160</v>
      </c>
      <c r="L111" s="6" t="s">
        <v>1054</v>
      </c>
      <c r="M111" s="6" t="s">
        <v>1416</v>
      </c>
      <c r="N111" s="6" t="s">
        <v>1162</v>
      </c>
      <c r="O111" s="6" t="s">
        <v>1347</v>
      </c>
      <c r="P111" s="6" t="s">
        <v>1164</v>
      </c>
      <c r="Q111" s="6" t="s">
        <v>1165</v>
      </c>
      <c r="R111" s="6" t="s">
        <v>1166</v>
      </c>
      <c r="S111" s="6" t="s">
        <v>1057</v>
      </c>
      <c r="T111" s="6" t="s">
        <v>1058</v>
      </c>
      <c r="U111" s="6">
        <v>0.9</v>
      </c>
      <c r="V111" s="6" t="s">
        <v>1059</v>
      </c>
      <c r="W111" s="6" t="s">
        <v>1057</v>
      </c>
      <c r="X111" s="12" t="str">
        <f>IF(V111="Approved","Yes","No")</f>
        <v>Yes</v>
      </c>
      <c r="Y111" s="6" t="s">
        <v>1060</v>
      </c>
      <c r="Z111" s="6" t="s">
        <v>1417</v>
      </c>
      <c r="AA111" s="6" t="s">
        <v>1062</v>
      </c>
    </row>
    <row r="112" spans="1:27" ht="45" customHeight="1">
      <c r="A112" s="4" t="s">
        <v>1418</v>
      </c>
      <c r="B112" s="4" t="s">
        <v>1033</v>
      </c>
      <c r="C112" s="4" t="s">
        <v>1158</v>
      </c>
      <c r="D112" s="4" t="s">
        <v>464</v>
      </c>
      <c r="E112" s="4" t="s">
        <v>471</v>
      </c>
      <c r="F112" s="4" t="s">
        <v>473</v>
      </c>
      <c r="G112" s="4" t="s">
        <v>842</v>
      </c>
      <c r="H112" s="4" t="s">
        <v>843</v>
      </c>
      <c r="I112" s="4">
        <v>4</v>
      </c>
      <c r="J112" s="4" t="s">
        <v>1159</v>
      </c>
      <c r="K112" s="4" t="s">
        <v>1160</v>
      </c>
      <c r="L112" s="4" t="s">
        <v>1054</v>
      </c>
      <c r="M112" s="4" t="s">
        <v>1419</v>
      </c>
      <c r="N112" s="4" t="s">
        <v>1162</v>
      </c>
      <c r="O112" s="4" t="s">
        <v>1351</v>
      </c>
      <c r="P112" s="4" t="s">
        <v>1164</v>
      </c>
      <c r="Q112" s="4" t="s">
        <v>1165</v>
      </c>
      <c r="R112" s="4" t="s">
        <v>1166</v>
      </c>
      <c r="S112" s="4" t="s">
        <v>1168</v>
      </c>
      <c r="T112" s="4" t="s">
        <v>764</v>
      </c>
      <c r="U112" s="4">
        <v>0.76</v>
      </c>
      <c r="V112" s="4" t="s">
        <v>1059</v>
      </c>
      <c r="W112" s="4" t="s">
        <v>1057</v>
      </c>
      <c r="X112" s="11" t="str">
        <f>IF(V112="Approved","Yes","No")</f>
        <v>Yes</v>
      </c>
      <c r="Y112" s="4" t="s">
        <v>1060</v>
      </c>
      <c r="Z112" s="4" t="s">
        <v>1420</v>
      </c>
      <c r="AA112" s="4" t="s">
        <v>1062</v>
      </c>
    </row>
    <row r="113" spans="1:27" ht="45" customHeight="1">
      <c r="A113" s="6" t="s">
        <v>1421</v>
      </c>
      <c r="B113" s="6" t="s">
        <v>1033</v>
      </c>
      <c r="C113" s="6" t="s">
        <v>1158</v>
      </c>
      <c r="D113" s="6" t="s">
        <v>464</v>
      </c>
      <c r="E113" s="6" t="s">
        <v>471</v>
      </c>
      <c r="F113" s="6" t="s">
        <v>473</v>
      </c>
      <c r="G113" s="6" t="s">
        <v>881</v>
      </c>
      <c r="H113" s="6" t="s">
        <v>629</v>
      </c>
      <c r="I113" s="6">
        <v>3</v>
      </c>
      <c r="J113" s="6" t="s">
        <v>1159</v>
      </c>
      <c r="K113" s="6" t="s">
        <v>1160</v>
      </c>
      <c r="L113" s="6" t="s">
        <v>1054</v>
      </c>
      <c r="M113" s="6" t="s">
        <v>1422</v>
      </c>
      <c r="N113" s="6" t="s">
        <v>1162</v>
      </c>
      <c r="O113" s="6" t="s">
        <v>1184</v>
      </c>
      <c r="P113" s="6" t="s">
        <v>1164</v>
      </c>
      <c r="Q113" s="6" t="s">
        <v>1165</v>
      </c>
      <c r="R113" s="6" t="s">
        <v>1166</v>
      </c>
      <c r="S113" s="6" t="s">
        <v>1057</v>
      </c>
      <c r="T113" s="6" t="s">
        <v>1058</v>
      </c>
      <c r="U113" s="6">
        <v>0.87</v>
      </c>
      <c r="V113" s="6" t="s">
        <v>1167</v>
      </c>
      <c r="W113" s="6" t="s">
        <v>1168</v>
      </c>
      <c r="X113" s="12" t="str">
        <f>IF(V113="Approved","Yes","No")</f>
        <v>No</v>
      </c>
      <c r="Y113" s="6" t="s">
        <v>1060</v>
      </c>
      <c r="Z113" s="6" t="s">
        <v>1423</v>
      </c>
      <c r="AA113" s="6" t="s">
        <v>1062</v>
      </c>
    </row>
    <row r="114" spans="1:27" ht="45" customHeight="1">
      <c r="A114" s="4" t="s">
        <v>1424</v>
      </c>
      <c r="B114" s="4" t="s">
        <v>1033</v>
      </c>
      <c r="C114" s="4" t="s">
        <v>1158</v>
      </c>
      <c r="D114" s="4" t="s">
        <v>464</v>
      </c>
      <c r="E114" s="4" t="s">
        <v>471</v>
      </c>
      <c r="F114" s="4" t="s">
        <v>473</v>
      </c>
      <c r="G114" s="4" t="s">
        <v>848</v>
      </c>
      <c r="H114" s="4" t="s">
        <v>849</v>
      </c>
      <c r="I114" s="4">
        <v>4</v>
      </c>
      <c r="J114" s="4" t="s">
        <v>1159</v>
      </c>
      <c r="K114" s="4" t="s">
        <v>1160</v>
      </c>
      <c r="L114" s="4" t="s">
        <v>1054</v>
      </c>
      <c r="M114" s="4" t="s">
        <v>1425</v>
      </c>
      <c r="N114" s="4" t="s">
        <v>1162</v>
      </c>
      <c r="O114" s="4" t="s">
        <v>1359</v>
      </c>
      <c r="P114" s="4" t="s">
        <v>1164</v>
      </c>
      <c r="Q114" s="4" t="s">
        <v>1165</v>
      </c>
      <c r="R114" s="4" t="s">
        <v>1166</v>
      </c>
      <c r="S114" s="4" t="s">
        <v>1057</v>
      </c>
      <c r="T114" s="4" t="s">
        <v>764</v>
      </c>
      <c r="U114" s="4">
        <v>0.79</v>
      </c>
      <c r="V114" s="4" t="s">
        <v>1059</v>
      </c>
      <c r="W114" s="4" t="s">
        <v>1057</v>
      </c>
      <c r="X114" s="11" t="str">
        <f>IF(V114="Approved","Yes","No")</f>
        <v>Yes</v>
      </c>
      <c r="Y114" s="4" t="s">
        <v>1060</v>
      </c>
      <c r="Z114" s="4" t="s">
        <v>1426</v>
      </c>
      <c r="AA114" s="4" t="s">
        <v>1062</v>
      </c>
    </row>
    <row r="115" spans="1:27" ht="45" customHeight="1">
      <c r="A115" s="6" t="s">
        <v>1427</v>
      </c>
      <c r="B115" s="6" t="s">
        <v>1033</v>
      </c>
      <c r="C115" s="6" t="s">
        <v>1158</v>
      </c>
      <c r="D115" s="6" t="s">
        <v>464</v>
      </c>
      <c r="E115" s="6" t="s">
        <v>471</v>
      </c>
      <c r="F115" s="6" t="s">
        <v>473</v>
      </c>
      <c r="G115" s="6" t="s">
        <v>851</v>
      </c>
      <c r="H115" s="6" t="s">
        <v>852</v>
      </c>
      <c r="I115" s="6">
        <v>4</v>
      </c>
      <c r="J115" s="6" t="s">
        <v>1159</v>
      </c>
      <c r="K115" s="6" t="s">
        <v>1160</v>
      </c>
      <c r="L115" s="6" t="s">
        <v>1054</v>
      </c>
      <c r="M115" s="6" t="s">
        <v>1428</v>
      </c>
      <c r="N115" s="6" t="s">
        <v>1162</v>
      </c>
      <c r="O115" s="6" t="s">
        <v>1363</v>
      </c>
      <c r="P115" s="6" t="s">
        <v>1164</v>
      </c>
      <c r="Q115" s="6" t="s">
        <v>1165</v>
      </c>
      <c r="R115" s="6" t="s">
        <v>1166</v>
      </c>
      <c r="S115" s="6" t="s">
        <v>1057</v>
      </c>
      <c r="T115" s="6" t="s">
        <v>764</v>
      </c>
      <c r="U115" s="6">
        <v>0.86</v>
      </c>
      <c r="V115" s="6" t="s">
        <v>1213</v>
      </c>
      <c r="W115" s="6" t="s">
        <v>1168</v>
      </c>
      <c r="X115" s="12" t="str">
        <f>IF(V115="Approved","Yes","No")</f>
        <v>No</v>
      </c>
      <c r="Y115" s="6" t="s">
        <v>1060</v>
      </c>
      <c r="Z115" s="6" t="s">
        <v>1429</v>
      </c>
      <c r="AA115" s="6" t="s">
        <v>1062</v>
      </c>
    </row>
    <row r="116" spans="1:27" ht="45" customHeight="1">
      <c r="A116" s="4" t="s">
        <v>1430</v>
      </c>
      <c r="B116" s="4" t="s">
        <v>1033</v>
      </c>
      <c r="C116" s="4" t="s">
        <v>1158</v>
      </c>
      <c r="D116" s="4" t="s">
        <v>464</v>
      </c>
      <c r="E116" s="4" t="s">
        <v>471</v>
      </c>
      <c r="F116" s="4" t="s">
        <v>473</v>
      </c>
      <c r="G116" s="4" t="s">
        <v>854</v>
      </c>
      <c r="H116" s="4" t="s">
        <v>855</v>
      </c>
      <c r="I116" s="4">
        <v>4</v>
      </c>
      <c r="J116" s="4" t="s">
        <v>1159</v>
      </c>
      <c r="K116" s="4" t="s">
        <v>1160</v>
      </c>
      <c r="L116" s="4" t="s">
        <v>1054</v>
      </c>
      <c r="M116" s="4" t="s">
        <v>1431</v>
      </c>
      <c r="N116" s="4" t="s">
        <v>1162</v>
      </c>
      <c r="O116" s="4" t="s">
        <v>1367</v>
      </c>
      <c r="P116" s="4" t="s">
        <v>1164</v>
      </c>
      <c r="Q116" s="4" t="s">
        <v>1165</v>
      </c>
      <c r="R116" s="4" t="s">
        <v>1166</v>
      </c>
      <c r="S116" s="4" t="s">
        <v>1168</v>
      </c>
      <c r="T116" s="4" t="s">
        <v>764</v>
      </c>
      <c r="U116" s="4">
        <v>0.83</v>
      </c>
      <c r="V116" s="4" t="s">
        <v>1059</v>
      </c>
      <c r="W116" s="4" t="s">
        <v>1057</v>
      </c>
      <c r="X116" s="11" t="str">
        <f>IF(V116="Approved","Yes","No")</f>
        <v>Yes</v>
      </c>
      <c r="Y116" s="4" t="s">
        <v>1060</v>
      </c>
      <c r="Z116" s="4" t="s">
        <v>1432</v>
      </c>
      <c r="AA116" s="4" t="s">
        <v>1062</v>
      </c>
    </row>
    <row r="117" spans="1:27" ht="45" customHeight="1">
      <c r="A117" s="6" t="s">
        <v>1433</v>
      </c>
      <c r="B117" s="6" t="s">
        <v>1033</v>
      </c>
      <c r="C117" s="6" t="s">
        <v>1158</v>
      </c>
      <c r="D117" s="6" t="s">
        <v>464</v>
      </c>
      <c r="E117" s="6" t="s">
        <v>471</v>
      </c>
      <c r="F117" s="6" t="s">
        <v>473</v>
      </c>
      <c r="G117" s="6" t="s">
        <v>857</v>
      </c>
      <c r="H117" s="6" t="s">
        <v>858</v>
      </c>
      <c r="I117" s="6">
        <v>4</v>
      </c>
      <c r="J117" s="6" t="s">
        <v>1159</v>
      </c>
      <c r="K117" s="6" t="s">
        <v>1160</v>
      </c>
      <c r="L117" s="6" t="s">
        <v>1054</v>
      </c>
      <c r="M117" s="6" t="s">
        <v>1434</v>
      </c>
      <c r="N117" s="6" t="s">
        <v>1162</v>
      </c>
      <c r="O117" s="6" t="s">
        <v>1371</v>
      </c>
      <c r="P117" s="6" t="s">
        <v>1164</v>
      </c>
      <c r="Q117" s="6" t="s">
        <v>1165</v>
      </c>
      <c r="R117" s="6" t="s">
        <v>1166</v>
      </c>
      <c r="S117" s="6" t="s">
        <v>1057</v>
      </c>
      <c r="T117" s="6" t="s">
        <v>764</v>
      </c>
      <c r="U117" s="6">
        <v>0.77</v>
      </c>
      <c r="V117" s="6" t="s">
        <v>1059</v>
      </c>
      <c r="W117" s="6" t="s">
        <v>1057</v>
      </c>
      <c r="X117" s="12" t="str">
        <f>IF(V117="Approved","Yes","No")</f>
        <v>Yes</v>
      </c>
      <c r="Y117" s="6" t="s">
        <v>1060</v>
      </c>
      <c r="Z117" s="6" t="s">
        <v>1435</v>
      </c>
      <c r="AA117" s="6" t="s">
        <v>1062</v>
      </c>
    </row>
    <row r="118" spans="1:27" ht="45" customHeight="1">
      <c r="A118" s="4" t="s">
        <v>1436</v>
      </c>
      <c r="B118" s="4" t="s">
        <v>1033</v>
      </c>
      <c r="C118" s="4" t="s">
        <v>1158</v>
      </c>
      <c r="D118" s="4" t="s">
        <v>464</v>
      </c>
      <c r="E118" s="4" t="s">
        <v>471</v>
      </c>
      <c r="F118" s="4" t="s">
        <v>473</v>
      </c>
      <c r="G118" s="4" t="s">
        <v>860</v>
      </c>
      <c r="H118" s="4" t="s">
        <v>861</v>
      </c>
      <c r="I118" s="4">
        <v>4</v>
      </c>
      <c r="J118" s="4" t="s">
        <v>1159</v>
      </c>
      <c r="K118" s="4" t="s">
        <v>1160</v>
      </c>
      <c r="L118" s="4" t="s">
        <v>1054</v>
      </c>
      <c r="M118" s="4" t="s">
        <v>1437</v>
      </c>
      <c r="N118" s="4" t="s">
        <v>1162</v>
      </c>
      <c r="O118" s="4" t="s">
        <v>1375</v>
      </c>
      <c r="P118" s="4" t="s">
        <v>1164</v>
      </c>
      <c r="Q118" s="4" t="s">
        <v>1165</v>
      </c>
      <c r="R118" s="4" t="s">
        <v>1166</v>
      </c>
      <c r="S118" s="4" t="s">
        <v>1057</v>
      </c>
      <c r="T118" s="4" t="s">
        <v>764</v>
      </c>
      <c r="U118" s="4">
        <v>0.84</v>
      </c>
      <c r="V118" s="4" t="s">
        <v>1059</v>
      </c>
      <c r="W118" s="4" t="s">
        <v>1057</v>
      </c>
      <c r="X118" s="11" t="str">
        <f>IF(V118="Approved","Yes","No")</f>
        <v>Yes</v>
      </c>
      <c r="Y118" s="4" t="s">
        <v>1060</v>
      </c>
      <c r="Z118" s="4" t="s">
        <v>1438</v>
      </c>
      <c r="AA118" s="4" t="s">
        <v>1062</v>
      </c>
    </row>
  </sheetData>
  <autoFilter ref="A3:AA118" xr:uid="{00000000-0009-0000-0000-00000C000000}"/>
  <mergeCells count="1">
    <mergeCell ref="A1:L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18"/>
  <sheetViews>
    <sheetView showGridLines="0" workbookViewId="0">
      <pane ySplit="3" topLeftCell="A4" activePane="bottomLeft" state="frozen"/>
      <selection pane="bottomLeft"/>
    </sheetView>
  </sheetViews>
  <sheetFormatPr defaultRowHeight="15"/>
  <cols>
    <col min="1" max="1" width="21" customWidth="1"/>
    <col min="2" max="2" width="45" customWidth="1"/>
    <col min="3" max="3" width="13" customWidth="1"/>
    <col min="4" max="4" width="14" customWidth="1"/>
    <col min="5" max="5" width="34" customWidth="1"/>
    <col min="6" max="7" width="45" customWidth="1"/>
    <col min="8" max="8" width="14" customWidth="1"/>
    <col min="9" max="9" width="20" customWidth="1"/>
    <col min="10" max="10" width="25" customWidth="1"/>
    <col min="11" max="11" width="45" customWidth="1"/>
    <col min="12" max="12" width="23" customWidth="1"/>
    <col min="13" max="13" width="26" customWidth="1"/>
  </cols>
  <sheetData>
    <row r="1" spans="1:13" ht="26.1" customHeight="1">
      <c r="A1" s="16" t="s">
        <v>1439</v>
      </c>
      <c r="B1" s="17"/>
      <c r="C1" s="17"/>
      <c r="D1" s="17"/>
      <c r="E1" s="17"/>
      <c r="F1" s="17"/>
      <c r="G1" s="17"/>
      <c r="H1" s="17"/>
      <c r="I1" s="17"/>
      <c r="J1" s="17"/>
      <c r="K1" s="17"/>
      <c r="L1" s="17"/>
    </row>
    <row r="3" spans="1:13">
      <c r="A3" s="2" t="s">
        <v>286</v>
      </c>
      <c r="B3" s="2" t="s">
        <v>62</v>
      </c>
      <c r="C3" s="2" t="s">
        <v>248</v>
      </c>
      <c r="D3" s="2" t="s">
        <v>230</v>
      </c>
      <c r="E3" s="2" t="s">
        <v>151</v>
      </c>
      <c r="F3" s="2" t="s">
        <v>184</v>
      </c>
      <c r="G3" s="2" t="s">
        <v>288</v>
      </c>
      <c r="H3" s="2" t="s">
        <v>290</v>
      </c>
      <c r="I3" s="2" t="s">
        <v>274</v>
      </c>
      <c r="J3" s="2" t="s">
        <v>292</v>
      </c>
      <c r="K3" s="2" t="s">
        <v>294</v>
      </c>
      <c r="L3" s="2" t="s">
        <v>296</v>
      </c>
      <c r="M3" s="2" t="s">
        <v>298</v>
      </c>
    </row>
    <row r="4" spans="1:13" ht="45" customHeight="1">
      <c r="A4" s="4" t="s">
        <v>1440</v>
      </c>
      <c r="B4" s="4" t="s">
        <v>1441</v>
      </c>
      <c r="C4" s="4" t="s">
        <v>1050</v>
      </c>
      <c r="D4" s="4" t="s">
        <v>1037</v>
      </c>
      <c r="E4" s="4" t="s">
        <v>481</v>
      </c>
      <c r="F4" s="4" t="s">
        <v>636</v>
      </c>
      <c r="G4" s="4" t="s">
        <v>1442</v>
      </c>
      <c r="H4" s="4">
        <v>1</v>
      </c>
      <c r="I4" s="4" t="s">
        <v>1059</v>
      </c>
      <c r="J4" s="4" t="s">
        <v>1443</v>
      </c>
      <c r="K4" s="4" t="s">
        <v>1444</v>
      </c>
      <c r="L4" s="4" t="s">
        <v>1445</v>
      </c>
      <c r="M4" s="4" t="s">
        <v>1446</v>
      </c>
    </row>
    <row r="5" spans="1:13" ht="45" customHeight="1">
      <c r="A5" s="6" t="s">
        <v>1447</v>
      </c>
      <c r="B5" s="6" t="s">
        <v>1441</v>
      </c>
      <c r="C5" s="6" t="s">
        <v>1063</v>
      </c>
      <c r="D5" s="6" t="s">
        <v>1041</v>
      </c>
      <c r="E5" s="6" t="s">
        <v>490</v>
      </c>
      <c r="F5" s="6" t="s">
        <v>636</v>
      </c>
      <c r="G5" s="6" t="s">
        <v>1442</v>
      </c>
      <c r="H5" s="6">
        <v>1</v>
      </c>
      <c r="I5" s="6" t="s">
        <v>1059</v>
      </c>
      <c r="J5" s="6" t="s">
        <v>1443</v>
      </c>
      <c r="K5" s="6" t="s">
        <v>1444</v>
      </c>
      <c r="L5" s="6" t="s">
        <v>1448</v>
      </c>
      <c r="M5" s="6" t="s">
        <v>1446</v>
      </c>
    </row>
    <row r="6" spans="1:13" ht="45" customHeight="1">
      <c r="A6" s="4" t="s">
        <v>1449</v>
      </c>
      <c r="B6" s="4" t="s">
        <v>1441</v>
      </c>
      <c r="C6" s="4" t="s">
        <v>1064</v>
      </c>
      <c r="D6" s="4" t="s">
        <v>1037</v>
      </c>
      <c r="E6" s="4" t="s">
        <v>481</v>
      </c>
      <c r="F6" s="4" t="s">
        <v>563</v>
      </c>
      <c r="G6" s="4" t="s">
        <v>1442</v>
      </c>
      <c r="H6" s="4">
        <v>1</v>
      </c>
      <c r="I6" s="4" t="s">
        <v>1059</v>
      </c>
      <c r="J6" s="4" t="s">
        <v>1443</v>
      </c>
      <c r="K6" s="4" t="s">
        <v>1444</v>
      </c>
      <c r="L6" s="4" t="s">
        <v>1450</v>
      </c>
      <c r="M6" s="4" t="s">
        <v>1446</v>
      </c>
    </row>
    <row r="7" spans="1:13" ht="45" customHeight="1">
      <c r="A7" s="6" t="s">
        <v>1451</v>
      </c>
      <c r="B7" s="6" t="s">
        <v>1441</v>
      </c>
      <c r="C7" s="6" t="s">
        <v>1068</v>
      </c>
      <c r="D7" s="6" t="s">
        <v>1041</v>
      </c>
      <c r="E7" s="6" t="s">
        <v>490</v>
      </c>
      <c r="F7" s="6" t="s">
        <v>643</v>
      </c>
      <c r="G7" s="6" t="s">
        <v>1442</v>
      </c>
      <c r="H7" s="6">
        <v>1</v>
      </c>
      <c r="I7" s="6" t="s">
        <v>1059</v>
      </c>
      <c r="J7" s="6" t="s">
        <v>1443</v>
      </c>
      <c r="K7" s="6" t="s">
        <v>1444</v>
      </c>
      <c r="L7" s="6" t="s">
        <v>1452</v>
      </c>
      <c r="M7" s="6" t="s">
        <v>1446</v>
      </c>
    </row>
    <row r="8" spans="1:13" ht="45" customHeight="1">
      <c r="A8" s="4" t="s">
        <v>1453</v>
      </c>
      <c r="B8" s="4" t="s">
        <v>1441</v>
      </c>
      <c r="C8" s="4" t="s">
        <v>1069</v>
      </c>
      <c r="D8" s="4" t="s">
        <v>1037</v>
      </c>
      <c r="E8" s="4" t="s">
        <v>481</v>
      </c>
      <c r="F8" s="4" t="s">
        <v>563</v>
      </c>
      <c r="G8" s="4" t="s">
        <v>1442</v>
      </c>
      <c r="H8" s="4">
        <v>1</v>
      </c>
      <c r="I8" s="4" t="s">
        <v>1059</v>
      </c>
      <c r="J8" s="4" t="s">
        <v>1443</v>
      </c>
      <c r="K8" s="4" t="s">
        <v>1444</v>
      </c>
      <c r="L8" s="4" t="s">
        <v>1454</v>
      </c>
      <c r="M8" s="4" t="s">
        <v>1446</v>
      </c>
    </row>
    <row r="9" spans="1:13" ht="45" customHeight="1">
      <c r="A9" s="6" t="s">
        <v>1455</v>
      </c>
      <c r="B9" s="6" t="s">
        <v>1441</v>
      </c>
      <c r="C9" s="6" t="s">
        <v>1073</v>
      </c>
      <c r="D9" s="6" t="s">
        <v>1041</v>
      </c>
      <c r="E9" s="6" t="s">
        <v>490</v>
      </c>
      <c r="F9" s="6" t="s">
        <v>563</v>
      </c>
      <c r="G9" s="6" t="s">
        <v>1442</v>
      </c>
      <c r="H9" s="6">
        <v>1</v>
      </c>
      <c r="I9" s="6" t="s">
        <v>1059</v>
      </c>
      <c r="J9" s="6" t="s">
        <v>1443</v>
      </c>
      <c r="K9" s="6" t="s">
        <v>1444</v>
      </c>
      <c r="L9" s="6" t="s">
        <v>1456</v>
      </c>
      <c r="M9" s="6" t="s">
        <v>1446</v>
      </c>
    </row>
    <row r="10" spans="1:13" ht="45" customHeight="1">
      <c r="A10" s="4" t="s">
        <v>1457</v>
      </c>
      <c r="B10" s="4" t="s">
        <v>1441</v>
      </c>
      <c r="C10" s="4" t="s">
        <v>1074</v>
      </c>
      <c r="D10" s="4" t="s">
        <v>1037</v>
      </c>
      <c r="E10" s="4" t="s">
        <v>481</v>
      </c>
      <c r="F10" s="4" t="s">
        <v>621</v>
      </c>
      <c r="G10" s="4" t="s">
        <v>1442</v>
      </c>
      <c r="H10" s="4">
        <v>1</v>
      </c>
      <c r="I10" s="4" t="s">
        <v>1059</v>
      </c>
      <c r="J10" s="4" t="s">
        <v>1443</v>
      </c>
      <c r="K10" s="4" t="s">
        <v>1444</v>
      </c>
      <c r="L10" s="4" t="s">
        <v>1458</v>
      </c>
      <c r="M10" s="4" t="s">
        <v>1446</v>
      </c>
    </row>
    <row r="11" spans="1:13" ht="45" customHeight="1">
      <c r="A11" s="6" t="s">
        <v>1459</v>
      </c>
      <c r="B11" s="6" t="s">
        <v>1441</v>
      </c>
      <c r="C11" s="6" t="s">
        <v>1078</v>
      </c>
      <c r="D11" s="6" t="s">
        <v>1041</v>
      </c>
      <c r="E11" s="6" t="s">
        <v>490</v>
      </c>
      <c r="F11" s="6" t="s">
        <v>621</v>
      </c>
      <c r="G11" s="6" t="s">
        <v>1442</v>
      </c>
      <c r="H11" s="6">
        <v>1</v>
      </c>
      <c r="I11" s="6" t="s">
        <v>1059</v>
      </c>
      <c r="J11" s="6" t="s">
        <v>1443</v>
      </c>
      <c r="K11" s="6" t="s">
        <v>1444</v>
      </c>
      <c r="L11" s="6" t="s">
        <v>1445</v>
      </c>
      <c r="M11" s="6" t="s">
        <v>1446</v>
      </c>
    </row>
    <row r="12" spans="1:13" ht="45" customHeight="1">
      <c r="A12" s="4" t="s">
        <v>1460</v>
      </c>
      <c r="B12" s="4" t="s">
        <v>1441</v>
      </c>
      <c r="C12" s="4" t="s">
        <v>1079</v>
      </c>
      <c r="D12" s="4" t="s">
        <v>1037</v>
      </c>
      <c r="E12" s="4" t="s">
        <v>481</v>
      </c>
      <c r="F12" s="4" t="s">
        <v>586</v>
      </c>
      <c r="G12" s="4" t="s">
        <v>1442</v>
      </c>
      <c r="H12" s="4">
        <v>1</v>
      </c>
      <c r="I12" s="4" t="s">
        <v>1059</v>
      </c>
      <c r="J12" s="4" t="s">
        <v>1443</v>
      </c>
      <c r="K12" s="4" t="s">
        <v>1444</v>
      </c>
      <c r="L12" s="4" t="s">
        <v>1448</v>
      </c>
      <c r="M12" s="4" t="s">
        <v>1446</v>
      </c>
    </row>
    <row r="13" spans="1:13" ht="45" customHeight="1">
      <c r="A13" s="6" t="s">
        <v>1461</v>
      </c>
      <c r="B13" s="6" t="s">
        <v>1441</v>
      </c>
      <c r="C13" s="6" t="s">
        <v>1082</v>
      </c>
      <c r="D13" s="6" t="s">
        <v>1041</v>
      </c>
      <c r="E13" s="6" t="s">
        <v>490</v>
      </c>
      <c r="F13" s="6" t="s">
        <v>563</v>
      </c>
      <c r="G13" s="6" t="s">
        <v>1442</v>
      </c>
      <c r="H13" s="6">
        <v>1</v>
      </c>
      <c r="I13" s="6" t="s">
        <v>1059</v>
      </c>
      <c r="J13" s="6" t="s">
        <v>1443</v>
      </c>
      <c r="K13" s="6" t="s">
        <v>1444</v>
      </c>
      <c r="L13" s="6" t="s">
        <v>1450</v>
      </c>
      <c r="M13" s="6" t="s">
        <v>1446</v>
      </c>
    </row>
    <row r="14" spans="1:13" ht="45" customHeight="1">
      <c r="A14" s="4" t="s">
        <v>1462</v>
      </c>
      <c r="B14" s="4" t="s">
        <v>1441</v>
      </c>
      <c r="C14" s="4" t="s">
        <v>1083</v>
      </c>
      <c r="D14" s="4" t="s">
        <v>1037</v>
      </c>
      <c r="E14" s="4" t="s">
        <v>481</v>
      </c>
      <c r="F14" s="4" t="s">
        <v>607</v>
      </c>
      <c r="G14" s="4" t="s">
        <v>1442</v>
      </c>
      <c r="H14" s="4">
        <v>1</v>
      </c>
      <c r="I14" s="4" t="s">
        <v>1059</v>
      </c>
      <c r="J14" s="4" t="s">
        <v>1443</v>
      </c>
      <c r="K14" s="4" t="s">
        <v>1444</v>
      </c>
      <c r="L14" s="4" t="s">
        <v>1452</v>
      </c>
      <c r="M14" s="4" t="s">
        <v>1446</v>
      </c>
    </row>
    <row r="15" spans="1:13" ht="45" customHeight="1">
      <c r="A15" s="6" t="s">
        <v>1463</v>
      </c>
      <c r="B15" s="6" t="s">
        <v>1441</v>
      </c>
      <c r="C15" s="6" t="s">
        <v>1087</v>
      </c>
      <c r="D15" s="6" t="s">
        <v>1041</v>
      </c>
      <c r="E15" s="6" t="s">
        <v>490</v>
      </c>
      <c r="F15" s="6" t="s">
        <v>563</v>
      </c>
      <c r="G15" s="6" t="s">
        <v>1442</v>
      </c>
      <c r="H15" s="6">
        <v>1</v>
      </c>
      <c r="I15" s="6" t="s">
        <v>1059</v>
      </c>
      <c r="J15" s="6" t="s">
        <v>1443</v>
      </c>
      <c r="K15" s="6" t="s">
        <v>1444</v>
      </c>
      <c r="L15" s="6" t="s">
        <v>1454</v>
      </c>
      <c r="M15" s="6" t="s">
        <v>1446</v>
      </c>
    </row>
    <row r="16" spans="1:13" ht="45" customHeight="1">
      <c r="A16" s="4" t="s">
        <v>1464</v>
      </c>
      <c r="B16" s="4" t="s">
        <v>1441</v>
      </c>
      <c r="C16" s="4" t="s">
        <v>1088</v>
      </c>
      <c r="D16" s="4" t="s">
        <v>1037</v>
      </c>
      <c r="E16" s="4" t="s">
        <v>481</v>
      </c>
      <c r="F16" s="4" t="s">
        <v>563</v>
      </c>
      <c r="G16" s="4" t="s">
        <v>1442</v>
      </c>
      <c r="H16" s="4">
        <v>1</v>
      </c>
      <c r="I16" s="4" t="s">
        <v>1059</v>
      </c>
      <c r="J16" s="4" t="s">
        <v>1443</v>
      </c>
      <c r="K16" s="4" t="s">
        <v>1444</v>
      </c>
      <c r="L16" s="4" t="s">
        <v>1456</v>
      </c>
      <c r="M16" s="4" t="s">
        <v>1446</v>
      </c>
    </row>
    <row r="17" spans="1:13" ht="45" customHeight="1">
      <c r="A17" s="6" t="s">
        <v>1465</v>
      </c>
      <c r="B17" s="6" t="s">
        <v>1441</v>
      </c>
      <c r="C17" s="6" t="s">
        <v>1091</v>
      </c>
      <c r="D17" s="6" t="s">
        <v>1041</v>
      </c>
      <c r="E17" s="6" t="s">
        <v>490</v>
      </c>
      <c r="F17" s="6" t="s">
        <v>563</v>
      </c>
      <c r="G17" s="6" t="s">
        <v>1442</v>
      </c>
      <c r="H17" s="6">
        <v>1</v>
      </c>
      <c r="I17" s="6" t="s">
        <v>1059</v>
      </c>
      <c r="J17" s="6" t="s">
        <v>1443</v>
      </c>
      <c r="K17" s="6" t="s">
        <v>1444</v>
      </c>
      <c r="L17" s="6" t="s">
        <v>1458</v>
      </c>
      <c r="M17" s="6" t="s">
        <v>1446</v>
      </c>
    </row>
    <row r="18" spans="1:13" ht="45" customHeight="1">
      <c r="A18" s="4" t="s">
        <v>1466</v>
      </c>
      <c r="B18" s="4" t="s">
        <v>1441</v>
      </c>
      <c r="C18" s="4" t="s">
        <v>1092</v>
      </c>
      <c r="D18" s="4" t="s">
        <v>1037</v>
      </c>
      <c r="E18" s="4" t="s">
        <v>481</v>
      </c>
      <c r="F18" s="4" t="s">
        <v>563</v>
      </c>
      <c r="G18" s="4" t="s">
        <v>1442</v>
      </c>
      <c r="H18" s="4">
        <v>1</v>
      </c>
      <c r="I18" s="4" t="s">
        <v>1059</v>
      </c>
      <c r="J18" s="4" t="s">
        <v>1443</v>
      </c>
      <c r="K18" s="4" t="s">
        <v>1444</v>
      </c>
      <c r="L18" s="4" t="s">
        <v>1445</v>
      </c>
      <c r="M18" s="4" t="s">
        <v>1446</v>
      </c>
    </row>
    <row r="19" spans="1:13" ht="45" customHeight="1">
      <c r="A19" s="6" t="s">
        <v>1467</v>
      </c>
      <c r="B19" s="6" t="s">
        <v>1441</v>
      </c>
      <c r="C19" s="6" t="s">
        <v>1095</v>
      </c>
      <c r="D19" s="6" t="s">
        <v>1041</v>
      </c>
      <c r="E19" s="6" t="s">
        <v>490</v>
      </c>
      <c r="F19" s="6" t="s">
        <v>563</v>
      </c>
      <c r="G19" s="6" t="s">
        <v>1442</v>
      </c>
      <c r="H19" s="6">
        <v>1</v>
      </c>
      <c r="I19" s="6" t="s">
        <v>1059</v>
      </c>
      <c r="J19" s="6" t="s">
        <v>1443</v>
      </c>
      <c r="K19" s="6" t="s">
        <v>1444</v>
      </c>
      <c r="L19" s="6" t="s">
        <v>1448</v>
      </c>
      <c r="M19" s="6" t="s">
        <v>1446</v>
      </c>
    </row>
    <row r="20" spans="1:13" ht="45" customHeight="1">
      <c r="A20" s="4" t="s">
        <v>1468</v>
      </c>
      <c r="B20" s="4" t="s">
        <v>1441</v>
      </c>
      <c r="C20" s="4" t="s">
        <v>1096</v>
      </c>
      <c r="D20" s="4" t="s">
        <v>1037</v>
      </c>
      <c r="E20" s="4" t="s">
        <v>481</v>
      </c>
      <c r="F20" s="4" t="s">
        <v>563</v>
      </c>
      <c r="G20" s="4" t="s">
        <v>1442</v>
      </c>
      <c r="H20" s="4">
        <v>1</v>
      </c>
      <c r="I20" s="4" t="s">
        <v>1059</v>
      </c>
      <c r="J20" s="4" t="s">
        <v>1443</v>
      </c>
      <c r="K20" s="4" t="s">
        <v>1444</v>
      </c>
      <c r="L20" s="4" t="s">
        <v>1450</v>
      </c>
      <c r="M20" s="4" t="s">
        <v>1446</v>
      </c>
    </row>
    <row r="21" spans="1:13" ht="45" customHeight="1">
      <c r="A21" s="6" t="s">
        <v>1469</v>
      </c>
      <c r="B21" s="6" t="s">
        <v>1441</v>
      </c>
      <c r="C21" s="6" t="s">
        <v>1100</v>
      </c>
      <c r="D21" s="6" t="s">
        <v>1041</v>
      </c>
      <c r="E21" s="6" t="s">
        <v>490</v>
      </c>
      <c r="F21" s="6" t="s">
        <v>563</v>
      </c>
      <c r="G21" s="6" t="s">
        <v>1442</v>
      </c>
      <c r="H21" s="6">
        <v>1</v>
      </c>
      <c r="I21" s="6" t="s">
        <v>1059</v>
      </c>
      <c r="J21" s="6" t="s">
        <v>1443</v>
      </c>
      <c r="K21" s="6" t="s">
        <v>1444</v>
      </c>
      <c r="L21" s="6" t="s">
        <v>1452</v>
      </c>
      <c r="M21" s="6" t="s">
        <v>1446</v>
      </c>
    </row>
    <row r="22" spans="1:13" ht="45" customHeight="1">
      <c r="A22" s="4" t="s">
        <v>1470</v>
      </c>
      <c r="B22" s="4" t="s">
        <v>1441</v>
      </c>
      <c r="C22" s="4" t="s">
        <v>1101</v>
      </c>
      <c r="D22" s="4" t="s">
        <v>1037</v>
      </c>
      <c r="E22" s="4" t="s">
        <v>481</v>
      </c>
      <c r="F22" s="4" t="s">
        <v>621</v>
      </c>
      <c r="G22" s="4" t="s">
        <v>1442</v>
      </c>
      <c r="H22" s="4">
        <v>1</v>
      </c>
      <c r="I22" s="4" t="s">
        <v>1059</v>
      </c>
      <c r="J22" s="4" t="s">
        <v>1443</v>
      </c>
      <c r="K22" s="4" t="s">
        <v>1444</v>
      </c>
      <c r="L22" s="4" t="s">
        <v>1454</v>
      </c>
      <c r="M22" s="4" t="s">
        <v>1446</v>
      </c>
    </row>
    <row r="23" spans="1:13" ht="45" customHeight="1">
      <c r="A23" s="6" t="s">
        <v>1471</v>
      </c>
      <c r="B23" s="6" t="s">
        <v>1441</v>
      </c>
      <c r="C23" s="6" t="s">
        <v>1104</v>
      </c>
      <c r="D23" s="6" t="s">
        <v>1041</v>
      </c>
      <c r="E23" s="6" t="s">
        <v>490</v>
      </c>
      <c r="F23" s="6" t="s">
        <v>593</v>
      </c>
      <c r="G23" s="6" t="s">
        <v>1442</v>
      </c>
      <c r="H23" s="6">
        <v>1</v>
      </c>
      <c r="I23" s="6" t="s">
        <v>1059</v>
      </c>
      <c r="J23" s="6" t="s">
        <v>1443</v>
      </c>
      <c r="K23" s="6" t="s">
        <v>1444</v>
      </c>
      <c r="L23" s="6" t="s">
        <v>1456</v>
      </c>
      <c r="M23" s="6" t="s">
        <v>1446</v>
      </c>
    </row>
    <row r="24" spans="1:13" ht="45" customHeight="1">
      <c r="A24" s="4" t="s">
        <v>1472</v>
      </c>
      <c r="B24" s="4" t="s">
        <v>1441</v>
      </c>
      <c r="C24" s="4" t="s">
        <v>1105</v>
      </c>
      <c r="D24" s="4" t="s">
        <v>1037</v>
      </c>
      <c r="E24" s="4" t="s">
        <v>481</v>
      </c>
      <c r="F24" s="4" t="s">
        <v>636</v>
      </c>
      <c r="G24" s="4" t="s">
        <v>1442</v>
      </c>
      <c r="H24" s="4">
        <v>1</v>
      </c>
      <c r="I24" s="4" t="s">
        <v>1059</v>
      </c>
      <c r="J24" s="4" t="s">
        <v>1443</v>
      </c>
      <c r="K24" s="4" t="s">
        <v>1444</v>
      </c>
      <c r="L24" s="4" t="s">
        <v>1458</v>
      </c>
      <c r="M24" s="4" t="s">
        <v>1446</v>
      </c>
    </row>
    <row r="25" spans="1:13" ht="45" customHeight="1">
      <c r="A25" s="6" t="s">
        <v>1473</v>
      </c>
      <c r="B25" s="6" t="s">
        <v>1441</v>
      </c>
      <c r="C25" s="6" t="s">
        <v>1108</v>
      </c>
      <c r="D25" s="6" t="s">
        <v>1041</v>
      </c>
      <c r="E25" s="6" t="s">
        <v>490</v>
      </c>
      <c r="F25" s="6" t="s">
        <v>636</v>
      </c>
      <c r="G25" s="6" t="s">
        <v>1442</v>
      </c>
      <c r="H25" s="6">
        <v>1</v>
      </c>
      <c r="I25" s="6" t="s">
        <v>1059</v>
      </c>
      <c r="J25" s="6" t="s">
        <v>1443</v>
      </c>
      <c r="K25" s="6" t="s">
        <v>1444</v>
      </c>
      <c r="L25" s="6" t="s">
        <v>1445</v>
      </c>
      <c r="M25" s="6" t="s">
        <v>1446</v>
      </c>
    </row>
    <row r="26" spans="1:13" ht="45" customHeight="1">
      <c r="A26" s="4" t="s">
        <v>1474</v>
      </c>
      <c r="B26" s="4" t="s">
        <v>1441</v>
      </c>
      <c r="C26" s="4" t="s">
        <v>1109</v>
      </c>
      <c r="D26" s="4" t="s">
        <v>1037</v>
      </c>
      <c r="E26" s="4" t="s">
        <v>481</v>
      </c>
      <c r="F26" s="4" t="s">
        <v>563</v>
      </c>
      <c r="G26" s="4" t="s">
        <v>1442</v>
      </c>
      <c r="H26" s="4">
        <v>1</v>
      </c>
      <c r="I26" s="4" t="s">
        <v>1059</v>
      </c>
      <c r="J26" s="4" t="s">
        <v>1443</v>
      </c>
      <c r="K26" s="4" t="s">
        <v>1444</v>
      </c>
      <c r="L26" s="4" t="s">
        <v>1448</v>
      </c>
      <c r="M26" s="4" t="s">
        <v>1446</v>
      </c>
    </row>
    <row r="27" spans="1:13" ht="45" customHeight="1">
      <c r="A27" s="6" t="s">
        <v>1475</v>
      </c>
      <c r="B27" s="6" t="s">
        <v>1441</v>
      </c>
      <c r="C27" s="6" t="s">
        <v>1112</v>
      </c>
      <c r="D27" s="6" t="s">
        <v>1041</v>
      </c>
      <c r="E27" s="6" t="s">
        <v>490</v>
      </c>
      <c r="F27" s="6" t="s">
        <v>650</v>
      </c>
      <c r="G27" s="6" t="s">
        <v>1442</v>
      </c>
      <c r="H27" s="6">
        <v>1</v>
      </c>
      <c r="I27" s="6" t="s">
        <v>1059</v>
      </c>
      <c r="J27" s="6" t="s">
        <v>1443</v>
      </c>
      <c r="K27" s="6" t="s">
        <v>1444</v>
      </c>
      <c r="L27" s="6" t="s">
        <v>1450</v>
      </c>
      <c r="M27" s="6" t="s">
        <v>1446</v>
      </c>
    </row>
    <row r="28" spans="1:13" ht="45" customHeight="1">
      <c r="A28" s="4" t="s">
        <v>1476</v>
      </c>
      <c r="B28" s="4" t="s">
        <v>1441</v>
      </c>
      <c r="C28" s="4" t="s">
        <v>1113</v>
      </c>
      <c r="D28" s="4" t="s">
        <v>1037</v>
      </c>
      <c r="E28" s="4" t="s">
        <v>481</v>
      </c>
      <c r="F28" s="4" t="s">
        <v>563</v>
      </c>
      <c r="G28" s="4" t="s">
        <v>1442</v>
      </c>
      <c r="H28" s="4">
        <v>1</v>
      </c>
      <c r="I28" s="4" t="s">
        <v>1059</v>
      </c>
      <c r="J28" s="4" t="s">
        <v>1443</v>
      </c>
      <c r="K28" s="4" t="s">
        <v>1444</v>
      </c>
      <c r="L28" s="4" t="s">
        <v>1452</v>
      </c>
      <c r="M28" s="4" t="s">
        <v>1446</v>
      </c>
    </row>
    <row r="29" spans="1:13" ht="45" customHeight="1">
      <c r="A29" s="6" t="s">
        <v>1477</v>
      </c>
      <c r="B29" s="6" t="s">
        <v>1441</v>
      </c>
      <c r="C29" s="6" t="s">
        <v>1119</v>
      </c>
      <c r="D29" s="6" t="s">
        <v>1037</v>
      </c>
      <c r="E29" s="6" t="s">
        <v>481</v>
      </c>
      <c r="F29" s="6" t="s">
        <v>586</v>
      </c>
      <c r="G29" s="6" t="s">
        <v>1442</v>
      </c>
      <c r="H29" s="6">
        <v>1</v>
      </c>
      <c r="I29" s="6" t="s">
        <v>1059</v>
      </c>
      <c r="J29" s="6" t="s">
        <v>1443</v>
      </c>
      <c r="K29" s="6" t="s">
        <v>1444</v>
      </c>
      <c r="L29" s="6" t="s">
        <v>1454</v>
      </c>
      <c r="M29" s="6" t="s">
        <v>1446</v>
      </c>
    </row>
    <row r="30" spans="1:13" ht="45" customHeight="1">
      <c r="A30" s="4" t="s">
        <v>1478</v>
      </c>
      <c r="B30" s="4" t="s">
        <v>1441</v>
      </c>
      <c r="C30" s="4" t="s">
        <v>1123</v>
      </c>
      <c r="D30" s="4" t="s">
        <v>1037</v>
      </c>
      <c r="E30" s="4" t="s">
        <v>481</v>
      </c>
      <c r="F30" s="4" t="s">
        <v>563</v>
      </c>
      <c r="G30" s="4" t="s">
        <v>1442</v>
      </c>
      <c r="H30" s="4">
        <v>1</v>
      </c>
      <c r="I30" s="4" t="s">
        <v>1059</v>
      </c>
      <c r="J30" s="4" t="s">
        <v>1443</v>
      </c>
      <c r="K30" s="4" t="s">
        <v>1444</v>
      </c>
      <c r="L30" s="4" t="s">
        <v>1456</v>
      </c>
      <c r="M30" s="4" t="s">
        <v>1446</v>
      </c>
    </row>
    <row r="31" spans="1:13" ht="45" customHeight="1">
      <c r="A31" s="6" t="s">
        <v>1479</v>
      </c>
      <c r="B31" s="6" t="s">
        <v>1441</v>
      </c>
      <c r="C31" s="6" t="s">
        <v>1126</v>
      </c>
      <c r="D31" s="6" t="s">
        <v>1037</v>
      </c>
      <c r="E31" s="6" t="s">
        <v>481</v>
      </c>
      <c r="F31" s="6" t="s">
        <v>563</v>
      </c>
      <c r="G31" s="6" t="s">
        <v>1442</v>
      </c>
      <c r="H31" s="6">
        <v>1</v>
      </c>
      <c r="I31" s="6" t="s">
        <v>1059</v>
      </c>
      <c r="J31" s="6" t="s">
        <v>1443</v>
      </c>
      <c r="K31" s="6" t="s">
        <v>1444</v>
      </c>
      <c r="L31" s="6" t="s">
        <v>1458</v>
      </c>
      <c r="M31" s="6" t="s">
        <v>1446</v>
      </c>
    </row>
    <row r="32" spans="1:13" ht="45" customHeight="1">
      <c r="A32" s="4" t="s">
        <v>1480</v>
      </c>
      <c r="B32" s="4" t="s">
        <v>1441</v>
      </c>
      <c r="C32" s="4" t="s">
        <v>1129</v>
      </c>
      <c r="D32" s="4" t="s">
        <v>1037</v>
      </c>
      <c r="E32" s="4" t="s">
        <v>481</v>
      </c>
      <c r="F32" s="4" t="s">
        <v>621</v>
      </c>
      <c r="G32" s="4" t="s">
        <v>1442</v>
      </c>
      <c r="H32" s="4">
        <v>1</v>
      </c>
      <c r="I32" s="4" t="s">
        <v>1059</v>
      </c>
      <c r="J32" s="4" t="s">
        <v>1443</v>
      </c>
      <c r="K32" s="4" t="s">
        <v>1444</v>
      </c>
      <c r="L32" s="4" t="s">
        <v>1445</v>
      </c>
      <c r="M32" s="4" t="s">
        <v>1446</v>
      </c>
    </row>
    <row r="33" spans="1:13" ht="45" customHeight="1">
      <c r="A33" s="6" t="s">
        <v>1481</v>
      </c>
      <c r="B33" s="6" t="s">
        <v>1441</v>
      </c>
      <c r="C33" s="6" t="s">
        <v>1133</v>
      </c>
      <c r="D33" s="6" t="s">
        <v>1037</v>
      </c>
      <c r="E33" s="6" t="s">
        <v>481</v>
      </c>
      <c r="F33" s="6" t="s">
        <v>563</v>
      </c>
      <c r="G33" s="6" t="s">
        <v>1442</v>
      </c>
      <c r="H33" s="6">
        <v>1</v>
      </c>
      <c r="I33" s="6" t="s">
        <v>1059</v>
      </c>
      <c r="J33" s="6" t="s">
        <v>1443</v>
      </c>
      <c r="K33" s="6" t="s">
        <v>1444</v>
      </c>
      <c r="L33" s="6" t="s">
        <v>1448</v>
      </c>
      <c r="M33" s="6" t="s">
        <v>1446</v>
      </c>
    </row>
    <row r="34" spans="1:13" ht="45" customHeight="1">
      <c r="A34" s="4" t="s">
        <v>1482</v>
      </c>
      <c r="B34" s="4" t="s">
        <v>1441</v>
      </c>
      <c r="C34" s="4" t="s">
        <v>1136</v>
      </c>
      <c r="D34" s="4" t="s">
        <v>1037</v>
      </c>
      <c r="E34" s="4" t="s">
        <v>481</v>
      </c>
      <c r="F34" s="4" t="s">
        <v>586</v>
      </c>
      <c r="G34" s="4" t="s">
        <v>1442</v>
      </c>
      <c r="H34" s="4">
        <v>1</v>
      </c>
      <c r="I34" s="4" t="s">
        <v>1059</v>
      </c>
      <c r="J34" s="4" t="s">
        <v>1443</v>
      </c>
      <c r="K34" s="4" t="s">
        <v>1444</v>
      </c>
      <c r="L34" s="4" t="s">
        <v>1450</v>
      </c>
      <c r="M34" s="4" t="s">
        <v>1446</v>
      </c>
    </row>
    <row r="35" spans="1:13" ht="45" customHeight="1">
      <c r="A35" s="6" t="s">
        <v>1483</v>
      </c>
      <c r="B35" s="6" t="s">
        <v>1441</v>
      </c>
      <c r="C35" s="6" t="s">
        <v>1140</v>
      </c>
      <c r="D35" s="6" t="s">
        <v>1037</v>
      </c>
      <c r="E35" s="6" t="s">
        <v>481</v>
      </c>
      <c r="F35" s="6" t="s">
        <v>563</v>
      </c>
      <c r="G35" s="6" t="s">
        <v>1442</v>
      </c>
      <c r="H35" s="6">
        <v>1</v>
      </c>
      <c r="I35" s="6" t="s">
        <v>1059</v>
      </c>
      <c r="J35" s="6" t="s">
        <v>1443</v>
      </c>
      <c r="K35" s="6" t="s">
        <v>1444</v>
      </c>
      <c r="L35" s="6" t="s">
        <v>1452</v>
      </c>
      <c r="M35" s="6" t="s">
        <v>1446</v>
      </c>
    </row>
    <row r="36" spans="1:13" ht="45" customHeight="1">
      <c r="A36" s="4" t="s">
        <v>1484</v>
      </c>
      <c r="B36" s="4" t="s">
        <v>1441</v>
      </c>
      <c r="C36" s="4" t="s">
        <v>1144</v>
      </c>
      <c r="D36" s="4" t="s">
        <v>1037</v>
      </c>
      <c r="E36" s="4" t="s">
        <v>481</v>
      </c>
      <c r="F36" s="4" t="s">
        <v>563</v>
      </c>
      <c r="G36" s="4" t="s">
        <v>1442</v>
      </c>
      <c r="H36" s="4">
        <v>1</v>
      </c>
      <c r="I36" s="4" t="s">
        <v>1059</v>
      </c>
      <c r="J36" s="4" t="s">
        <v>1443</v>
      </c>
      <c r="K36" s="4" t="s">
        <v>1444</v>
      </c>
      <c r="L36" s="4" t="s">
        <v>1454</v>
      </c>
      <c r="M36" s="4" t="s">
        <v>1446</v>
      </c>
    </row>
    <row r="37" spans="1:13" ht="45" customHeight="1">
      <c r="A37" s="6" t="s">
        <v>1485</v>
      </c>
      <c r="B37" s="6" t="s">
        <v>1441</v>
      </c>
      <c r="C37" s="6" t="s">
        <v>1148</v>
      </c>
      <c r="D37" s="6" t="s">
        <v>1037</v>
      </c>
      <c r="E37" s="6" t="s">
        <v>481</v>
      </c>
      <c r="F37" s="6" t="s">
        <v>563</v>
      </c>
      <c r="G37" s="6" t="s">
        <v>1442</v>
      </c>
      <c r="H37" s="6">
        <v>1</v>
      </c>
      <c r="I37" s="6" t="s">
        <v>1059</v>
      </c>
      <c r="J37" s="6" t="s">
        <v>1443</v>
      </c>
      <c r="K37" s="6" t="s">
        <v>1444</v>
      </c>
      <c r="L37" s="6" t="s">
        <v>1456</v>
      </c>
      <c r="M37" s="6" t="s">
        <v>1446</v>
      </c>
    </row>
    <row r="38" spans="1:13" ht="45" customHeight="1">
      <c r="A38" s="4" t="s">
        <v>1486</v>
      </c>
      <c r="B38" s="4" t="s">
        <v>1441</v>
      </c>
      <c r="C38" s="4" t="s">
        <v>1151</v>
      </c>
      <c r="D38" s="4" t="s">
        <v>1037</v>
      </c>
      <c r="E38" s="4" t="s">
        <v>481</v>
      </c>
      <c r="F38" s="4" t="s">
        <v>563</v>
      </c>
      <c r="G38" s="4" t="s">
        <v>1442</v>
      </c>
      <c r="H38" s="4">
        <v>1</v>
      </c>
      <c r="I38" s="4" t="s">
        <v>1059</v>
      </c>
      <c r="J38" s="4" t="s">
        <v>1443</v>
      </c>
      <c r="K38" s="4" t="s">
        <v>1444</v>
      </c>
      <c r="L38" s="4" t="s">
        <v>1458</v>
      </c>
      <c r="M38" s="4" t="s">
        <v>1446</v>
      </c>
    </row>
    <row r="39" spans="1:13" ht="45" customHeight="1">
      <c r="A39" s="6" t="s">
        <v>1487</v>
      </c>
      <c r="B39" s="6" t="s">
        <v>1441</v>
      </c>
      <c r="C39" s="6" t="s">
        <v>1154</v>
      </c>
      <c r="D39" s="6" t="s">
        <v>1037</v>
      </c>
      <c r="E39" s="6" t="s">
        <v>481</v>
      </c>
      <c r="F39" s="6" t="s">
        <v>563</v>
      </c>
      <c r="G39" s="6" t="s">
        <v>1442</v>
      </c>
      <c r="H39" s="6">
        <v>1</v>
      </c>
      <c r="I39" s="6" t="s">
        <v>1059</v>
      </c>
      <c r="J39" s="6" t="s">
        <v>1443</v>
      </c>
      <c r="K39" s="6" t="s">
        <v>1444</v>
      </c>
      <c r="L39" s="6" t="s">
        <v>1445</v>
      </c>
      <c r="M39" s="6" t="s">
        <v>1446</v>
      </c>
    </row>
    <row r="40" spans="1:13" ht="45" customHeight="1">
      <c r="A40" s="4" t="s">
        <v>1488</v>
      </c>
      <c r="B40" s="4" t="s">
        <v>1441</v>
      </c>
      <c r="C40" s="4" t="s">
        <v>1157</v>
      </c>
      <c r="D40" s="4" t="s">
        <v>1037</v>
      </c>
      <c r="E40" s="4" t="s">
        <v>481</v>
      </c>
      <c r="F40" s="4" t="s">
        <v>572</v>
      </c>
      <c r="G40" s="4" t="s">
        <v>1442</v>
      </c>
      <c r="H40" s="4">
        <v>1</v>
      </c>
      <c r="I40" s="4" t="s">
        <v>1167</v>
      </c>
      <c r="J40" s="4" t="s">
        <v>1489</v>
      </c>
      <c r="K40" s="4" t="s">
        <v>1444</v>
      </c>
      <c r="L40" s="4" t="s">
        <v>1448</v>
      </c>
      <c r="M40" s="4" t="s">
        <v>1446</v>
      </c>
    </row>
    <row r="41" spans="1:13" ht="45" customHeight="1">
      <c r="A41" s="6" t="s">
        <v>1490</v>
      </c>
      <c r="B41" s="6" t="s">
        <v>1441</v>
      </c>
      <c r="C41" s="6" t="s">
        <v>1170</v>
      </c>
      <c r="D41" s="6" t="s">
        <v>1037</v>
      </c>
      <c r="E41" s="6" t="s">
        <v>481</v>
      </c>
      <c r="F41" s="6" t="s">
        <v>579</v>
      </c>
      <c r="G41" s="6" t="s">
        <v>1442</v>
      </c>
      <c r="H41" s="6">
        <v>1</v>
      </c>
      <c r="I41" s="6" t="s">
        <v>1059</v>
      </c>
      <c r="J41" s="6" t="s">
        <v>1443</v>
      </c>
      <c r="K41" s="6" t="s">
        <v>1444</v>
      </c>
      <c r="L41" s="6" t="s">
        <v>1450</v>
      </c>
      <c r="M41" s="6" t="s">
        <v>1446</v>
      </c>
    </row>
    <row r="42" spans="1:13" ht="45" customHeight="1">
      <c r="A42" s="4" t="s">
        <v>1491</v>
      </c>
      <c r="B42" s="4" t="s">
        <v>1441</v>
      </c>
      <c r="C42" s="4" t="s">
        <v>1174</v>
      </c>
      <c r="D42" s="4" t="s">
        <v>1037</v>
      </c>
      <c r="E42" s="4" t="s">
        <v>481</v>
      </c>
      <c r="F42" s="4" t="s">
        <v>600</v>
      </c>
      <c r="G42" s="4" t="s">
        <v>1442</v>
      </c>
      <c r="H42" s="4">
        <v>1</v>
      </c>
      <c r="I42" s="4" t="s">
        <v>1167</v>
      </c>
      <c r="J42" s="4" t="s">
        <v>1489</v>
      </c>
      <c r="K42" s="4" t="s">
        <v>1444</v>
      </c>
      <c r="L42" s="4" t="s">
        <v>1452</v>
      </c>
      <c r="M42" s="4" t="s">
        <v>1446</v>
      </c>
    </row>
    <row r="43" spans="1:13" ht="45" customHeight="1">
      <c r="A43" s="6" t="s">
        <v>1492</v>
      </c>
      <c r="B43" s="6" t="s">
        <v>1441</v>
      </c>
      <c r="C43" s="6" t="s">
        <v>1178</v>
      </c>
      <c r="D43" s="6" t="s">
        <v>1037</v>
      </c>
      <c r="E43" s="6" t="s">
        <v>481</v>
      </c>
      <c r="F43" s="6" t="s">
        <v>614</v>
      </c>
      <c r="G43" s="6" t="s">
        <v>1442</v>
      </c>
      <c r="H43" s="6">
        <v>1</v>
      </c>
      <c r="I43" s="6" t="s">
        <v>1167</v>
      </c>
      <c r="J43" s="6" t="s">
        <v>1489</v>
      </c>
      <c r="K43" s="6" t="s">
        <v>1444</v>
      </c>
      <c r="L43" s="6" t="s">
        <v>1454</v>
      </c>
      <c r="M43" s="6" t="s">
        <v>1446</v>
      </c>
    </row>
    <row r="44" spans="1:13" ht="45" customHeight="1">
      <c r="A44" s="4" t="s">
        <v>1493</v>
      </c>
      <c r="B44" s="4" t="s">
        <v>1441</v>
      </c>
      <c r="C44" s="4" t="s">
        <v>1182</v>
      </c>
      <c r="D44" s="4" t="s">
        <v>1037</v>
      </c>
      <c r="E44" s="4" t="s">
        <v>481</v>
      </c>
      <c r="F44" s="4" t="s">
        <v>628</v>
      </c>
      <c r="G44" s="4" t="s">
        <v>1442</v>
      </c>
      <c r="H44" s="4">
        <v>1</v>
      </c>
      <c r="I44" s="4" t="s">
        <v>1059</v>
      </c>
      <c r="J44" s="4" t="s">
        <v>1443</v>
      </c>
      <c r="K44" s="4" t="s">
        <v>1444</v>
      </c>
      <c r="L44" s="4" t="s">
        <v>1456</v>
      </c>
      <c r="M44" s="4" t="s">
        <v>1446</v>
      </c>
    </row>
    <row r="45" spans="1:13" ht="45" customHeight="1">
      <c r="A45" s="6" t="s">
        <v>1494</v>
      </c>
      <c r="B45" s="6" t="s">
        <v>1441</v>
      </c>
      <c r="C45" s="6" t="s">
        <v>1186</v>
      </c>
      <c r="D45" s="6" t="s">
        <v>1039</v>
      </c>
      <c r="E45" s="6" t="s">
        <v>487</v>
      </c>
      <c r="F45" s="6" t="s">
        <v>563</v>
      </c>
      <c r="G45" s="6" t="s">
        <v>1442</v>
      </c>
      <c r="H45" s="6">
        <v>1</v>
      </c>
      <c r="I45" s="6" t="s">
        <v>1059</v>
      </c>
      <c r="J45" s="6" t="s">
        <v>1443</v>
      </c>
      <c r="K45" s="6" t="s">
        <v>1444</v>
      </c>
      <c r="L45" s="6" t="s">
        <v>1458</v>
      </c>
      <c r="M45" s="6" t="s">
        <v>1446</v>
      </c>
    </row>
    <row r="46" spans="1:13" ht="45" customHeight="1">
      <c r="A46" s="4" t="s">
        <v>1495</v>
      </c>
      <c r="B46" s="4" t="s">
        <v>1441</v>
      </c>
      <c r="C46" s="4" t="s">
        <v>1190</v>
      </c>
      <c r="D46" s="4" t="s">
        <v>1039</v>
      </c>
      <c r="E46" s="4" t="s">
        <v>487</v>
      </c>
      <c r="F46" s="4" t="s">
        <v>572</v>
      </c>
      <c r="G46" s="4" t="s">
        <v>1442</v>
      </c>
      <c r="H46" s="4">
        <v>1</v>
      </c>
      <c r="I46" s="4" t="s">
        <v>1059</v>
      </c>
      <c r="J46" s="4" t="s">
        <v>1443</v>
      </c>
      <c r="K46" s="4" t="s">
        <v>1444</v>
      </c>
      <c r="L46" s="4" t="s">
        <v>1445</v>
      </c>
      <c r="M46" s="4" t="s">
        <v>1446</v>
      </c>
    </row>
    <row r="47" spans="1:13" ht="45" customHeight="1">
      <c r="A47" s="6" t="s">
        <v>1496</v>
      </c>
      <c r="B47" s="6" t="s">
        <v>1441</v>
      </c>
      <c r="C47" s="6" t="s">
        <v>1193</v>
      </c>
      <c r="D47" s="6" t="s">
        <v>1039</v>
      </c>
      <c r="E47" s="6" t="s">
        <v>487</v>
      </c>
      <c r="F47" s="6" t="s">
        <v>579</v>
      </c>
      <c r="G47" s="6" t="s">
        <v>1442</v>
      </c>
      <c r="H47" s="6">
        <v>1</v>
      </c>
      <c r="I47" s="6" t="s">
        <v>1167</v>
      </c>
      <c r="J47" s="6" t="s">
        <v>1489</v>
      </c>
      <c r="K47" s="6" t="s">
        <v>1444</v>
      </c>
      <c r="L47" s="6" t="s">
        <v>1448</v>
      </c>
      <c r="M47" s="6" t="s">
        <v>1446</v>
      </c>
    </row>
    <row r="48" spans="1:13" ht="45" customHeight="1">
      <c r="A48" s="4" t="s">
        <v>1497</v>
      </c>
      <c r="B48" s="4" t="s">
        <v>1441</v>
      </c>
      <c r="C48" s="4" t="s">
        <v>1196</v>
      </c>
      <c r="D48" s="4" t="s">
        <v>1039</v>
      </c>
      <c r="E48" s="4" t="s">
        <v>487</v>
      </c>
      <c r="F48" s="4" t="s">
        <v>586</v>
      </c>
      <c r="G48" s="4" t="s">
        <v>1442</v>
      </c>
      <c r="H48" s="4">
        <v>1</v>
      </c>
      <c r="I48" s="4" t="s">
        <v>1059</v>
      </c>
      <c r="J48" s="4" t="s">
        <v>1443</v>
      </c>
      <c r="K48" s="4" t="s">
        <v>1444</v>
      </c>
      <c r="L48" s="4" t="s">
        <v>1450</v>
      </c>
      <c r="M48" s="4" t="s">
        <v>1446</v>
      </c>
    </row>
    <row r="49" spans="1:13" ht="45" customHeight="1">
      <c r="A49" s="6" t="s">
        <v>1498</v>
      </c>
      <c r="B49" s="6" t="s">
        <v>1441</v>
      </c>
      <c r="C49" s="6" t="s">
        <v>1200</v>
      </c>
      <c r="D49" s="6" t="s">
        <v>1039</v>
      </c>
      <c r="E49" s="6" t="s">
        <v>487</v>
      </c>
      <c r="F49" s="6" t="s">
        <v>600</v>
      </c>
      <c r="G49" s="6" t="s">
        <v>1442</v>
      </c>
      <c r="H49" s="6">
        <v>1</v>
      </c>
      <c r="I49" s="6" t="s">
        <v>1167</v>
      </c>
      <c r="J49" s="6" t="s">
        <v>1489</v>
      </c>
      <c r="K49" s="6" t="s">
        <v>1444</v>
      </c>
      <c r="L49" s="6" t="s">
        <v>1452</v>
      </c>
      <c r="M49" s="6" t="s">
        <v>1446</v>
      </c>
    </row>
    <row r="50" spans="1:13" ht="45" customHeight="1">
      <c r="A50" s="4" t="s">
        <v>1499</v>
      </c>
      <c r="B50" s="4" t="s">
        <v>1441</v>
      </c>
      <c r="C50" s="4" t="s">
        <v>1203</v>
      </c>
      <c r="D50" s="4" t="s">
        <v>1039</v>
      </c>
      <c r="E50" s="4" t="s">
        <v>487</v>
      </c>
      <c r="F50" s="4" t="s">
        <v>607</v>
      </c>
      <c r="G50" s="4" t="s">
        <v>1442</v>
      </c>
      <c r="H50" s="4">
        <v>1</v>
      </c>
      <c r="I50" s="4" t="s">
        <v>1167</v>
      </c>
      <c r="J50" s="4" t="s">
        <v>1489</v>
      </c>
      <c r="K50" s="4" t="s">
        <v>1444</v>
      </c>
      <c r="L50" s="4" t="s">
        <v>1454</v>
      </c>
      <c r="M50" s="4" t="s">
        <v>1446</v>
      </c>
    </row>
    <row r="51" spans="1:13" ht="45" customHeight="1">
      <c r="A51" s="6" t="s">
        <v>1500</v>
      </c>
      <c r="B51" s="6" t="s">
        <v>1441</v>
      </c>
      <c r="C51" s="6" t="s">
        <v>1207</v>
      </c>
      <c r="D51" s="6" t="s">
        <v>1039</v>
      </c>
      <c r="E51" s="6" t="s">
        <v>487</v>
      </c>
      <c r="F51" s="6" t="s">
        <v>614</v>
      </c>
      <c r="G51" s="6" t="s">
        <v>1442</v>
      </c>
      <c r="H51" s="6">
        <v>1</v>
      </c>
      <c r="I51" s="6" t="s">
        <v>1059</v>
      </c>
      <c r="J51" s="6" t="s">
        <v>1443</v>
      </c>
      <c r="K51" s="6" t="s">
        <v>1444</v>
      </c>
      <c r="L51" s="6" t="s">
        <v>1456</v>
      </c>
      <c r="M51" s="6" t="s">
        <v>1446</v>
      </c>
    </row>
    <row r="52" spans="1:13" ht="45" customHeight="1">
      <c r="A52" s="4" t="s">
        <v>1501</v>
      </c>
      <c r="B52" s="4" t="s">
        <v>1441</v>
      </c>
      <c r="C52" s="4" t="s">
        <v>1210</v>
      </c>
      <c r="D52" s="4" t="s">
        <v>1039</v>
      </c>
      <c r="E52" s="4" t="s">
        <v>487</v>
      </c>
      <c r="F52" s="4" t="s">
        <v>621</v>
      </c>
      <c r="G52" s="4" t="s">
        <v>1442</v>
      </c>
      <c r="H52" s="4">
        <v>1</v>
      </c>
      <c r="I52" s="4" t="s">
        <v>1213</v>
      </c>
      <c r="J52" s="4" t="s">
        <v>1502</v>
      </c>
      <c r="K52" s="4" t="s">
        <v>1444</v>
      </c>
      <c r="L52" s="4" t="s">
        <v>1458</v>
      </c>
      <c r="M52" s="4" t="s">
        <v>1446</v>
      </c>
    </row>
    <row r="53" spans="1:13" ht="45" customHeight="1">
      <c r="A53" s="6" t="s">
        <v>1503</v>
      </c>
      <c r="B53" s="6" t="s">
        <v>1441</v>
      </c>
      <c r="C53" s="6" t="s">
        <v>1215</v>
      </c>
      <c r="D53" s="6" t="s">
        <v>1039</v>
      </c>
      <c r="E53" s="6" t="s">
        <v>487</v>
      </c>
      <c r="F53" s="6" t="s">
        <v>628</v>
      </c>
      <c r="G53" s="6" t="s">
        <v>1442</v>
      </c>
      <c r="H53" s="6">
        <v>1</v>
      </c>
      <c r="I53" s="6" t="s">
        <v>1059</v>
      </c>
      <c r="J53" s="6" t="s">
        <v>1443</v>
      </c>
      <c r="K53" s="6" t="s">
        <v>1444</v>
      </c>
      <c r="L53" s="6" t="s">
        <v>1445</v>
      </c>
      <c r="M53" s="6" t="s">
        <v>1446</v>
      </c>
    </row>
    <row r="54" spans="1:13" ht="45" customHeight="1">
      <c r="A54" s="4" t="s">
        <v>1504</v>
      </c>
      <c r="B54" s="4" t="s">
        <v>1441</v>
      </c>
      <c r="C54" s="4" t="s">
        <v>1218</v>
      </c>
      <c r="D54" s="4" t="s">
        <v>1039</v>
      </c>
      <c r="E54" s="4" t="s">
        <v>487</v>
      </c>
      <c r="F54" s="4" t="s">
        <v>636</v>
      </c>
      <c r="G54" s="4" t="s">
        <v>1442</v>
      </c>
      <c r="H54" s="4">
        <v>1</v>
      </c>
      <c r="I54" s="4" t="s">
        <v>1167</v>
      </c>
      <c r="J54" s="4" t="s">
        <v>1489</v>
      </c>
      <c r="K54" s="4" t="s">
        <v>1444</v>
      </c>
      <c r="L54" s="4" t="s">
        <v>1448</v>
      </c>
      <c r="M54" s="4" t="s">
        <v>1446</v>
      </c>
    </row>
    <row r="55" spans="1:13" ht="45" customHeight="1">
      <c r="A55" s="6" t="s">
        <v>1505</v>
      </c>
      <c r="B55" s="6" t="s">
        <v>1441</v>
      </c>
      <c r="C55" s="6" t="s">
        <v>1222</v>
      </c>
      <c r="D55" s="6" t="s">
        <v>1041</v>
      </c>
      <c r="E55" s="6" t="s">
        <v>490</v>
      </c>
      <c r="F55" s="6" t="s">
        <v>628</v>
      </c>
      <c r="G55" s="6" t="s">
        <v>1442</v>
      </c>
      <c r="H55" s="6">
        <v>1</v>
      </c>
      <c r="I55" s="6" t="s">
        <v>1167</v>
      </c>
      <c r="J55" s="6" t="s">
        <v>1489</v>
      </c>
      <c r="K55" s="6" t="s">
        <v>1444</v>
      </c>
      <c r="L55" s="6" t="s">
        <v>1450</v>
      </c>
      <c r="M55" s="6" t="s">
        <v>1446</v>
      </c>
    </row>
    <row r="56" spans="1:13" ht="45" customHeight="1">
      <c r="A56" s="4" t="s">
        <v>1506</v>
      </c>
      <c r="B56" s="4" t="s">
        <v>1441</v>
      </c>
      <c r="C56" s="4" t="s">
        <v>1225</v>
      </c>
      <c r="D56" s="4" t="s">
        <v>1041</v>
      </c>
      <c r="E56" s="4" t="s">
        <v>490</v>
      </c>
      <c r="F56" s="4" t="s">
        <v>657</v>
      </c>
      <c r="G56" s="4" t="s">
        <v>1442</v>
      </c>
      <c r="H56" s="4">
        <v>1</v>
      </c>
      <c r="I56" s="4" t="s">
        <v>1167</v>
      </c>
      <c r="J56" s="4" t="s">
        <v>1489</v>
      </c>
      <c r="K56" s="4" t="s">
        <v>1444</v>
      </c>
      <c r="L56" s="4" t="s">
        <v>1452</v>
      </c>
      <c r="M56" s="4" t="s">
        <v>1446</v>
      </c>
    </row>
    <row r="57" spans="1:13" ht="45" customHeight="1">
      <c r="A57" s="6" t="s">
        <v>1507</v>
      </c>
      <c r="B57" s="6" t="s">
        <v>1441</v>
      </c>
      <c r="C57" s="6" t="s">
        <v>1229</v>
      </c>
      <c r="D57" s="6" t="s">
        <v>1041</v>
      </c>
      <c r="E57" s="6" t="s">
        <v>490</v>
      </c>
      <c r="F57" s="6" t="s">
        <v>664</v>
      </c>
      <c r="G57" s="6" t="s">
        <v>1442</v>
      </c>
      <c r="H57" s="6">
        <v>1</v>
      </c>
      <c r="I57" s="6" t="s">
        <v>1059</v>
      </c>
      <c r="J57" s="6" t="s">
        <v>1443</v>
      </c>
      <c r="K57" s="6" t="s">
        <v>1444</v>
      </c>
      <c r="L57" s="6" t="s">
        <v>1454</v>
      </c>
      <c r="M57" s="6" t="s">
        <v>1446</v>
      </c>
    </row>
    <row r="58" spans="1:13" ht="45" customHeight="1">
      <c r="A58" s="4" t="s">
        <v>1508</v>
      </c>
      <c r="B58" s="4" t="s">
        <v>1441</v>
      </c>
      <c r="C58" s="4" t="s">
        <v>1233</v>
      </c>
      <c r="D58" s="4" t="s">
        <v>1041</v>
      </c>
      <c r="E58" s="4" t="s">
        <v>490</v>
      </c>
      <c r="F58" s="4" t="s">
        <v>671</v>
      </c>
      <c r="G58" s="4" t="s">
        <v>1442</v>
      </c>
      <c r="H58" s="4">
        <v>1</v>
      </c>
      <c r="I58" s="4" t="s">
        <v>1167</v>
      </c>
      <c r="J58" s="4" t="s">
        <v>1489</v>
      </c>
      <c r="K58" s="4" t="s">
        <v>1444</v>
      </c>
      <c r="L58" s="4" t="s">
        <v>1456</v>
      </c>
      <c r="M58" s="4" t="s">
        <v>1446</v>
      </c>
    </row>
    <row r="59" spans="1:13" ht="45" customHeight="1">
      <c r="A59" s="6" t="s">
        <v>1509</v>
      </c>
      <c r="B59" s="6" t="s">
        <v>1441</v>
      </c>
      <c r="C59" s="6" t="s">
        <v>1237</v>
      </c>
      <c r="D59" s="6" t="s">
        <v>1045</v>
      </c>
      <c r="E59" s="6" t="s">
        <v>497</v>
      </c>
      <c r="F59" s="6" t="s">
        <v>678</v>
      </c>
      <c r="G59" s="6" t="s">
        <v>1442</v>
      </c>
      <c r="H59" s="6">
        <v>1</v>
      </c>
      <c r="I59" s="6" t="s">
        <v>1167</v>
      </c>
      <c r="J59" s="6" t="s">
        <v>1489</v>
      </c>
      <c r="K59" s="6" t="s">
        <v>1444</v>
      </c>
      <c r="L59" s="6" t="s">
        <v>1458</v>
      </c>
      <c r="M59" s="6" t="s">
        <v>1446</v>
      </c>
    </row>
    <row r="60" spans="1:13" ht="45" customHeight="1">
      <c r="A60" s="4" t="s">
        <v>1510</v>
      </c>
      <c r="B60" s="4" t="s">
        <v>1441</v>
      </c>
      <c r="C60" s="4" t="s">
        <v>1240</v>
      </c>
      <c r="D60" s="4" t="s">
        <v>1045</v>
      </c>
      <c r="E60" s="4" t="s">
        <v>497</v>
      </c>
      <c r="F60" s="4" t="s">
        <v>683</v>
      </c>
      <c r="G60" s="4" t="s">
        <v>1442</v>
      </c>
      <c r="H60" s="4">
        <v>1</v>
      </c>
      <c r="I60" s="4" t="s">
        <v>1167</v>
      </c>
      <c r="J60" s="4" t="s">
        <v>1489</v>
      </c>
      <c r="K60" s="4" t="s">
        <v>1444</v>
      </c>
      <c r="L60" s="4" t="s">
        <v>1445</v>
      </c>
      <c r="M60" s="4" t="s">
        <v>1446</v>
      </c>
    </row>
    <row r="61" spans="1:13" ht="45" customHeight="1">
      <c r="A61" s="6" t="s">
        <v>1511</v>
      </c>
      <c r="B61" s="6" t="s">
        <v>1441</v>
      </c>
      <c r="C61" s="6" t="s">
        <v>1244</v>
      </c>
      <c r="D61" s="6" t="s">
        <v>1045</v>
      </c>
      <c r="E61" s="6" t="s">
        <v>497</v>
      </c>
      <c r="F61" s="6" t="s">
        <v>690</v>
      </c>
      <c r="G61" s="6" t="s">
        <v>1442</v>
      </c>
      <c r="H61" s="6">
        <v>1</v>
      </c>
      <c r="I61" s="6" t="s">
        <v>1059</v>
      </c>
      <c r="J61" s="6" t="s">
        <v>1443</v>
      </c>
      <c r="K61" s="6" t="s">
        <v>1444</v>
      </c>
      <c r="L61" s="6" t="s">
        <v>1448</v>
      </c>
      <c r="M61" s="6" t="s">
        <v>1446</v>
      </c>
    </row>
    <row r="62" spans="1:13" ht="45" customHeight="1">
      <c r="A62" s="4" t="s">
        <v>1512</v>
      </c>
      <c r="B62" s="4" t="s">
        <v>1441</v>
      </c>
      <c r="C62" s="4" t="s">
        <v>1248</v>
      </c>
      <c r="D62" s="4" t="s">
        <v>1045</v>
      </c>
      <c r="E62" s="4" t="s">
        <v>497</v>
      </c>
      <c r="F62" s="4" t="s">
        <v>697</v>
      </c>
      <c r="G62" s="4" t="s">
        <v>1442</v>
      </c>
      <c r="H62" s="4">
        <v>1</v>
      </c>
      <c r="I62" s="4" t="s">
        <v>1059</v>
      </c>
      <c r="J62" s="4" t="s">
        <v>1443</v>
      </c>
      <c r="K62" s="4" t="s">
        <v>1444</v>
      </c>
      <c r="L62" s="4" t="s">
        <v>1450</v>
      </c>
      <c r="M62" s="4" t="s">
        <v>1446</v>
      </c>
    </row>
    <row r="63" spans="1:13" ht="45" customHeight="1">
      <c r="A63" s="6" t="s">
        <v>1513</v>
      </c>
      <c r="B63" s="6" t="s">
        <v>1441</v>
      </c>
      <c r="C63" s="6" t="s">
        <v>1252</v>
      </c>
      <c r="D63" s="6" t="s">
        <v>1045</v>
      </c>
      <c r="E63" s="6" t="s">
        <v>497</v>
      </c>
      <c r="F63" s="6" t="s">
        <v>704</v>
      </c>
      <c r="G63" s="6" t="s">
        <v>1442</v>
      </c>
      <c r="H63" s="6">
        <v>1</v>
      </c>
      <c r="I63" s="6" t="s">
        <v>1059</v>
      </c>
      <c r="J63" s="6" t="s">
        <v>1443</v>
      </c>
      <c r="K63" s="6" t="s">
        <v>1444</v>
      </c>
      <c r="L63" s="6" t="s">
        <v>1452</v>
      </c>
      <c r="M63" s="6" t="s">
        <v>1446</v>
      </c>
    </row>
    <row r="64" spans="1:13" ht="45" customHeight="1">
      <c r="A64" s="4" t="s">
        <v>1514</v>
      </c>
      <c r="B64" s="4" t="s">
        <v>1441</v>
      </c>
      <c r="C64" s="4" t="s">
        <v>1256</v>
      </c>
      <c r="D64" s="4" t="s">
        <v>1045</v>
      </c>
      <c r="E64" s="4" t="s">
        <v>497</v>
      </c>
      <c r="F64" s="4" t="s">
        <v>711</v>
      </c>
      <c r="G64" s="4" t="s">
        <v>1442</v>
      </c>
      <c r="H64" s="4">
        <v>1</v>
      </c>
      <c r="I64" s="4" t="s">
        <v>1167</v>
      </c>
      <c r="J64" s="4" t="s">
        <v>1489</v>
      </c>
      <c r="K64" s="4" t="s">
        <v>1444</v>
      </c>
      <c r="L64" s="4" t="s">
        <v>1454</v>
      </c>
      <c r="M64" s="4" t="s">
        <v>1446</v>
      </c>
    </row>
    <row r="65" spans="1:13" ht="45" customHeight="1">
      <c r="A65" s="6" t="s">
        <v>1515</v>
      </c>
      <c r="B65" s="6" t="s">
        <v>1441</v>
      </c>
      <c r="C65" s="6" t="s">
        <v>1260</v>
      </c>
      <c r="D65" s="6" t="s">
        <v>1045</v>
      </c>
      <c r="E65" s="6" t="s">
        <v>497</v>
      </c>
      <c r="F65" s="6" t="s">
        <v>718</v>
      </c>
      <c r="G65" s="6" t="s">
        <v>1442</v>
      </c>
      <c r="H65" s="6">
        <v>1</v>
      </c>
      <c r="I65" s="6" t="s">
        <v>1059</v>
      </c>
      <c r="J65" s="6" t="s">
        <v>1443</v>
      </c>
      <c r="K65" s="6" t="s">
        <v>1444</v>
      </c>
      <c r="L65" s="6" t="s">
        <v>1456</v>
      </c>
      <c r="M65" s="6" t="s">
        <v>1446</v>
      </c>
    </row>
    <row r="66" spans="1:13" ht="45" customHeight="1">
      <c r="A66" s="4" t="s">
        <v>1516</v>
      </c>
      <c r="B66" s="4" t="s">
        <v>1441</v>
      </c>
      <c r="C66" s="4" t="s">
        <v>1264</v>
      </c>
      <c r="D66" s="4" t="s">
        <v>1045</v>
      </c>
      <c r="E66" s="4" t="s">
        <v>497</v>
      </c>
      <c r="F66" s="4" t="s">
        <v>725</v>
      </c>
      <c r="G66" s="4" t="s">
        <v>1442</v>
      </c>
      <c r="H66" s="4">
        <v>1</v>
      </c>
      <c r="I66" s="4" t="s">
        <v>1059</v>
      </c>
      <c r="J66" s="4" t="s">
        <v>1443</v>
      </c>
      <c r="K66" s="4" t="s">
        <v>1444</v>
      </c>
      <c r="L66" s="4" t="s">
        <v>1458</v>
      </c>
      <c r="M66" s="4" t="s">
        <v>1446</v>
      </c>
    </row>
    <row r="67" spans="1:13" ht="45" customHeight="1">
      <c r="A67" s="6" t="s">
        <v>1517</v>
      </c>
      <c r="B67" s="6" t="s">
        <v>1441</v>
      </c>
      <c r="C67" s="6" t="s">
        <v>1268</v>
      </c>
      <c r="D67" s="6" t="s">
        <v>1045</v>
      </c>
      <c r="E67" s="6" t="s">
        <v>497</v>
      </c>
      <c r="F67" s="6" t="s">
        <v>729</v>
      </c>
      <c r="G67" s="6" t="s">
        <v>1442</v>
      </c>
      <c r="H67" s="6">
        <v>1</v>
      </c>
      <c r="I67" s="6" t="s">
        <v>1167</v>
      </c>
      <c r="J67" s="6" t="s">
        <v>1489</v>
      </c>
      <c r="K67" s="6" t="s">
        <v>1444</v>
      </c>
      <c r="L67" s="6" t="s">
        <v>1445</v>
      </c>
      <c r="M67" s="6" t="s">
        <v>1446</v>
      </c>
    </row>
    <row r="68" spans="1:13" ht="45" customHeight="1">
      <c r="A68" s="4" t="s">
        <v>1518</v>
      </c>
      <c r="B68" s="4" t="s">
        <v>1441</v>
      </c>
      <c r="C68" s="4" t="s">
        <v>1271</v>
      </c>
      <c r="D68" s="4" t="s">
        <v>1045</v>
      </c>
      <c r="E68" s="4" t="s">
        <v>497</v>
      </c>
      <c r="F68" s="4" t="s">
        <v>730</v>
      </c>
      <c r="G68" s="4" t="s">
        <v>1442</v>
      </c>
      <c r="H68" s="4">
        <v>1</v>
      </c>
      <c r="I68" s="4" t="s">
        <v>1059</v>
      </c>
      <c r="J68" s="4" t="s">
        <v>1443</v>
      </c>
      <c r="K68" s="4" t="s">
        <v>1444</v>
      </c>
      <c r="L68" s="4" t="s">
        <v>1448</v>
      </c>
      <c r="M68" s="4" t="s">
        <v>1446</v>
      </c>
    </row>
    <row r="69" spans="1:13" ht="45" customHeight="1">
      <c r="A69" s="6" t="s">
        <v>1519</v>
      </c>
      <c r="B69" s="6" t="s">
        <v>1441</v>
      </c>
      <c r="C69" s="6" t="s">
        <v>1275</v>
      </c>
      <c r="D69" s="6" t="s">
        <v>1043</v>
      </c>
      <c r="E69" s="6" t="s">
        <v>492</v>
      </c>
      <c r="F69" s="6" t="s">
        <v>678</v>
      </c>
      <c r="G69" s="6" t="s">
        <v>1442</v>
      </c>
      <c r="H69" s="6">
        <v>1</v>
      </c>
      <c r="I69" s="6" t="s">
        <v>1059</v>
      </c>
      <c r="J69" s="6" t="s">
        <v>1443</v>
      </c>
      <c r="K69" s="6" t="s">
        <v>1444</v>
      </c>
      <c r="L69" s="6" t="s">
        <v>1450</v>
      </c>
      <c r="M69" s="6" t="s">
        <v>1446</v>
      </c>
    </row>
    <row r="70" spans="1:13" ht="45" customHeight="1">
      <c r="A70" s="4" t="s">
        <v>1520</v>
      </c>
      <c r="B70" s="4" t="s">
        <v>1441</v>
      </c>
      <c r="C70" s="4" t="s">
        <v>1278</v>
      </c>
      <c r="D70" s="4" t="s">
        <v>1043</v>
      </c>
      <c r="E70" s="4" t="s">
        <v>492</v>
      </c>
      <c r="F70" s="4" t="s">
        <v>683</v>
      </c>
      <c r="G70" s="4" t="s">
        <v>1442</v>
      </c>
      <c r="H70" s="4">
        <v>1</v>
      </c>
      <c r="I70" s="4" t="s">
        <v>1213</v>
      </c>
      <c r="J70" s="4" t="s">
        <v>1502</v>
      </c>
      <c r="K70" s="4" t="s">
        <v>1444</v>
      </c>
      <c r="L70" s="4" t="s">
        <v>1452</v>
      </c>
      <c r="M70" s="4" t="s">
        <v>1446</v>
      </c>
    </row>
    <row r="71" spans="1:13" ht="45" customHeight="1">
      <c r="A71" s="6" t="s">
        <v>1521</v>
      </c>
      <c r="B71" s="6" t="s">
        <v>1441</v>
      </c>
      <c r="C71" s="6" t="s">
        <v>1281</v>
      </c>
      <c r="D71" s="6" t="s">
        <v>1043</v>
      </c>
      <c r="E71" s="6" t="s">
        <v>492</v>
      </c>
      <c r="F71" s="6" t="s">
        <v>690</v>
      </c>
      <c r="G71" s="6" t="s">
        <v>1442</v>
      </c>
      <c r="H71" s="6">
        <v>1</v>
      </c>
      <c r="I71" s="6" t="s">
        <v>1167</v>
      </c>
      <c r="J71" s="6" t="s">
        <v>1489</v>
      </c>
      <c r="K71" s="6" t="s">
        <v>1444</v>
      </c>
      <c r="L71" s="6" t="s">
        <v>1454</v>
      </c>
      <c r="M71" s="6" t="s">
        <v>1446</v>
      </c>
    </row>
    <row r="72" spans="1:13" ht="45" customHeight="1">
      <c r="A72" s="4" t="s">
        <v>1522</v>
      </c>
      <c r="B72" s="4" t="s">
        <v>1441</v>
      </c>
      <c r="C72" s="4" t="s">
        <v>1284</v>
      </c>
      <c r="D72" s="4" t="s">
        <v>1043</v>
      </c>
      <c r="E72" s="4" t="s">
        <v>492</v>
      </c>
      <c r="F72" s="4" t="s">
        <v>697</v>
      </c>
      <c r="G72" s="4" t="s">
        <v>1442</v>
      </c>
      <c r="H72" s="4">
        <v>1</v>
      </c>
      <c r="I72" s="4" t="s">
        <v>1167</v>
      </c>
      <c r="J72" s="4" t="s">
        <v>1489</v>
      </c>
      <c r="K72" s="4" t="s">
        <v>1444</v>
      </c>
      <c r="L72" s="4" t="s">
        <v>1456</v>
      </c>
      <c r="M72" s="4" t="s">
        <v>1446</v>
      </c>
    </row>
    <row r="73" spans="1:13" ht="45" customHeight="1">
      <c r="A73" s="6" t="s">
        <v>1523</v>
      </c>
      <c r="B73" s="6" t="s">
        <v>1441</v>
      </c>
      <c r="C73" s="6" t="s">
        <v>1287</v>
      </c>
      <c r="D73" s="6" t="s">
        <v>1043</v>
      </c>
      <c r="E73" s="6" t="s">
        <v>492</v>
      </c>
      <c r="F73" s="6" t="s">
        <v>704</v>
      </c>
      <c r="G73" s="6" t="s">
        <v>1442</v>
      </c>
      <c r="H73" s="6">
        <v>1</v>
      </c>
      <c r="I73" s="6" t="s">
        <v>1059</v>
      </c>
      <c r="J73" s="6" t="s">
        <v>1443</v>
      </c>
      <c r="K73" s="6" t="s">
        <v>1444</v>
      </c>
      <c r="L73" s="6" t="s">
        <v>1458</v>
      </c>
      <c r="M73" s="6" t="s">
        <v>1446</v>
      </c>
    </row>
    <row r="74" spans="1:13" ht="45" customHeight="1">
      <c r="A74" s="4" t="s">
        <v>1524</v>
      </c>
      <c r="B74" s="4" t="s">
        <v>1441</v>
      </c>
      <c r="C74" s="4" t="s">
        <v>1290</v>
      </c>
      <c r="D74" s="4" t="s">
        <v>1043</v>
      </c>
      <c r="E74" s="4" t="s">
        <v>492</v>
      </c>
      <c r="F74" s="4" t="s">
        <v>711</v>
      </c>
      <c r="G74" s="4" t="s">
        <v>1442</v>
      </c>
      <c r="H74" s="4">
        <v>1</v>
      </c>
      <c r="I74" s="4" t="s">
        <v>1059</v>
      </c>
      <c r="J74" s="4" t="s">
        <v>1443</v>
      </c>
      <c r="K74" s="4" t="s">
        <v>1444</v>
      </c>
      <c r="L74" s="4" t="s">
        <v>1445</v>
      </c>
      <c r="M74" s="4" t="s">
        <v>1446</v>
      </c>
    </row>
    <row r="75" spans="1:13" ht="45" customHeight="1">
      <c r="A75" s="6" t="s">
        <v>1525</v>
      </c>
      <c r="B75" s="6" t="s">
        <v>1441</v>
      </c>
      <c r="C75" s="6" t="s">
        <v>1293</v>
      </c>
      <c r="D75" s="6" t="s">
        <v>1043</v>
      </c>
      <c r="E75" s="6" t="s">
        <v>492</v>
      </c>
      <c r="F75" s="6" t="s">
        <v>718</v>
      </c>
      <c r="G75" s="6" t="s">
        <v>1442</v>
      </c>
      <c r="H75" s="6">
        <v>1</v>
      </c>
      <c r="I75" s="6" t="s">
        <v>1059</v>
      </c>
      <c r="J75" s="6" t="s">
        <v>1443</v>
      </c>
      <c r="K75" s="6" t="s">
        <v>1444</v>
      </c>
      <c r="L75" s="6" t="s">
        <v>1448</v>
      </c>
      <c r="M75" s="6" t="s">
        <v>1446</v>
      </c>
    </row>
    <row r="76" spans="1:13" ht="45" customHeight="1">
      <c r="A76" s="4" t="s">
        <v>1526</v>
      </c>
      <c r="B76" s="4" t="s">
        <v>1441</v>
      </c>
      <c r="C76" s="4" t="s">
        <v>1296</v>
      </c>
      <c r="D76" s="4" t="s">
        <v>1043</v>
      </c>
      <c r="E76" s="4" t="s">
        <v>492</v>
      </c>
      <c r="F76" s="4" t="s">
        <v>725</v>
      </c>
      <c r="G76" s="4" t="s">
        <v>1442</v>
      </c>
      <c r="H76" s="4">
        <v>1</v>
      </c>
      <c r="I76" s="4" t="s">
        <v>1167</v>
      </c>
      <c r="J76" s="4" t="s">
        <v>1489</v>
      </c>
      <c r="K76" s="4" t="s">
        <v>1444</v>
      </c>
      <c r="L76" s="4" t="s">
        <v>1450</v>
      </c>
      <c r="M76" s="4" t="s">
        <v>1446</v>
      </c>
    </row>
    <row r="77" spans="1:13" ht="45" customHeight="1">
      <c r="A77" s="6" t="s">
        <v>1527</v>
      </c>
      <c r="B77" s="6" t="s">
        <v>1441</v>
      </c>
      <c r="C77" s="6" t="s">
        <v>1299</v>
      </c>
      <c r="D77" s="6" t="s">
        <v>1043</v>
      </c>
      <c r="E77" s="6" t="s">
        <v>492</v>
      </c>
      <c r="F77" s="6" t="s">
        <v>729</v>
      </c>
      <c r="G77" s="6" t="s">
        <v>1442</v>
      </c>
      <c r="H77" s="6">
        <v>1</v>
      </c>
      <c r="I77" s="6" t="s">
        <v>1167</v>
      </c>
      <c r="J77" s="6" t="s">
        <v>1489</v>
      </c>
      <c r="K77" s="6" t="s">
        <v>1444</v>
      </c>
      <c r="L77" s="6" t="s">
        <v>1452</v>
      </c>
      <c r="M77" s="6" t="s">
        <v>1446</v>
      </c>
    </row>
    <row r="78" spans="1:13" ht="45" customHeight="1">
      <c r="A78" s="4" t="s">
        <v>1528</v>
      </c>
      <c r="B78" s="4" t="s">
        <v>1441</v>
      </c>
      <c r="C78" s="4" t="s">
        <v>1302</v>
      </c>
      <c r="D78" s="4" t="s">
        <v>1043</v>
      </c>
      <c r="E78" s="4" t="s">
        <v>492</v>
      </c>
      <c r="F78" s="4" t="s">
        <v>730</v>
      </c>
      <c r="G78" s="4" t="s">
        <v>1442</v>
      </c>
      <c r="H78" s="4">
        <v>1</v>
      </c>
      <c r="I78" s="4" t="s">
        <v>1213</v>
      </c>
      <c r="J78" s="4" t="s">
        <v>1502</v>
      </c>
      <c r="K78" s="4" t="s">
        <v>1444</v>
      </c>
      <c r="L78" s="4" t="s">
        <v>1454</v>
      </c>
      <c r="M78" s="4" t="s">
        <v>1446</v>
      </c>
    </row>
    <row r="79" spans="1:13" ht="45" customHeight="1">
      <c r="A79" s="6" t="s">
        <v>1529</v>
      </c>
      <c r="B79" s="6" t="s">
        <v>1441</v>
      </c>
      <c r="C79" s="6" t="s">
        <v>1305</v>
      </c>
      <c r="D79" s="6" t="s">
        <v>1047</v>
      </c>
      <c r="E79" s="6" t="s">
        <v>500</v>
      </c>
      <c r="F79" s="6" t="s">
        <v>678</v>
      </c>
      <c r="G79" s="6" t="s">
        <v>1442</v>
      </c>
      <c r="H79" s="6">
        <v>1</v>
      </c>
      <c r="I79" s="6" t="s">
        <v>1059</v>
      </c>
      <c r="J79" s="6" t="s">
        <v>1443</v>
      </c>
      <c r="K79" s="6" t="s">
        <v>1444</v>
      </c>
      <c r="L79" s="6" t="s">
        <v>1456</v>
      </c>
      <c r="M79" s="6" t="s">
        <v>1446</v>
      </c>
    </row>
    <row r="80" spans="1:13" ht="45" customHeight="1">
      <c r="A80" s="4" t="s">
        <v>1530</v>
      </c>
      <c r="B80" s="4" t="s">
        <v>1441</v>
      </c>
      <c r="C80" s="4" t="s">
        <v>1308</v>
      </c>
      <c r="D80" s="4" t="s">
        <v>1047</v>
      </c>
      <c r="E80" s="4" t="s">
        <v>500</v>
      </c>
      <c r="F80" s="4" t="s">
        <v>683</v>
      </c>
      <c r="G80" s="4" t="s">
        <v>1442</v>
      </c>
      <c r="H80" s="4">
        <v>1</v>
      </c>
      <c r="I80" s="4" t="s">
        <v>1167</v>
      </c>
      <c r="J80" s="4" t="s">
        <v>1489</v>
      </c>
      <c r="K80" s="4" t="s">
        <v>1444</v>
      </c>
      <c r="L80" s="4" t="s">
        <v>1458</v>
      </c>
      <c r="M80" s="4" t="s">
        <v>1446</v>
      </c>
    </row>
    <row r="81" spans="1:13" ht="45" customHeight="1">
      <c r="A81" s="6" t="s">
        <v>1531</v>
      </c>
      <c r="B81" s="6" t="s">
        <v>1441</v>
      </c>
      <c r="C81" s="6" t="s">
        <v>1311</v>
      </c>
      <c r="D81" s="6" t="s">
        <v>1047</v>
      </c>
      <c r="E81" s="6" t="s">
        <v>500</v>
      </c>
      <c r="F81" s="6" t="s">
        <v>690</v>
      </c>
      <c r="G81" s="6" t="s">
        <v>1442</v>
      </c>
      <c r="H81" s="6">
        <v>1</v>
      </c>
      <c r="I81" s="6" t="s">
        <v>1167</v>
      </c>
      <c r="J81" s="6" t="s">
        <v>1489</v>
      </c>
      <c r="K81" s="6" t="s">
        <v>1444</v>
      </c>
      <c r="L81" s="6" t="s">
        <v>1445</v>
      </c>
      <c r="M81" s="6" t="s">
        <v>1446</v>
      </c>
    </row>
    <row r="82" spans="1:13" ht="45" customHeight="1">
      <c r="A82" s="4" t="s">
        <v>1532</v>
      </c>
      <c r="B82" s="4" t="s">
        <v>1441</v>
      </c>
      <c r="C82" s="4" t="s">
        <v>1314</v>
      </c>
      <c r="D82" s="4" t="s">
        <v>1047</v>
      </c>
      <c r="E82" s="4" t="s">
        <v>500</v>
      </c>
      <c r="F82" s="4" t="s">
        <v>697</v>
      </c>
      <c r="G82" s="4" t="s">
        <v>1442</v>
      </c>
      <c r="H82" s="4">
        <v>1</v>
      </c>
      <c r="I82" s="4" t="s">
        <v>1059</v>
      </c>
      <c r="J82" s="4" t="s">
        <v>1443</v>
      </c>
      <c r="K82" s="4" t="s">
        <v>1444</v>
      </c>
      <c r="L82" s="4" t="s">
        <v>1448</v>
      </c>
      <c r="M82" s="4" t="s">
        <v>1446</v>
      </c>
    </row>
    <row r="83" spans="1:13" ht="45" customHeight="1">
      <c r="A83" s="6" t="s">
        <v>1533</v>
      </c>
      <c r="B83" s="6" t="s">
        <v>1441</v>
      </c>
      <c r="C83" s="6" t="s">
        <v>1317</v>
      </c>
      <c r="D83" s="6" t="s">
        <v>1047</v>
      </c>
      <c r="E83" s="6" t="s">
        <v>500</v>
      </c>
      <c r="F83" s="6" t="s">
        <v>704</v>
      </c>
      <c r="G83" s="6" t="s">
        <v>1442</v>
      </c>
      <c r="H83" s="6">
        <v>1</v>
      </c>
      <c r="I83" s="6" t="s">
        <v>1213</v>
      </c>
      <c r="J83" s="6" t="s">
        <v>1502</v>
      </c>
      <c r="K83" s="6" t="s">
        <v>1444</v>
      </c>
      <c r="L83" s="6" t="s">
        <v>1450</v>
      </c>
      <c r="M83" s="6" t="s">
        <v>1446</v>
      </c>
    </row>
    <row r="84" spans="1:13" ht="45" customHeight="1">
      <c r="A84" s="4" t="s">
        <v>1534</v>
      </c>
      <c r="B84" s="4" t="s">
        <v>1441</v>
      </c>
      <c r="C84" s="4" t="s">
        <v>1320</v>
      </c>
      <c r="D84" s="4" t="s">
        <v>1047</v>
      </c>
      <c r="E84" s="4" t="s">
        <v>500</v>
      </c>
      <c r="F84" s="4" t="s">
        <v>711</v>
      </c>
      <c r="G84" s="4" t="s">
        <v>1442</v>
      </c>
      <c r="H84" s="4">
        <v>1</v>
      </c>
      <c r="I84" s="4" t="s">
        <v>1059</v>
      </c>
      <c r="J84" s="4" t="s">
        <v>1443</v>
      </c>
      <c r="K84" s="4" t="s">
        <v>1444</v>
      </c>
      <c r="L84" s="4" t="s">
        <v>1452</v>
      </c>
      <c r="M84" s="4" t="s">
        <v>1446</v>
      </c>
    </row>
    <row r="85" spans="1:13" ht="45" customHeight="1">
      <c r="A85" s="6" t="s">
        <v>1535</v>
      </c>
      <c r="B85" s="6" t="s">
        <v>1441</v>
      </c>
      <c r="C85" s="6" t="s">
        <v>1323</v>
      </c>
      <c r="D85" s="6" t="s">
        <v>1047</v>
      </c>
      <c r="E85" s="6" t="s">
        <v>500</v>
      </c>
      <c r="F85" s="6" t="s">
        <v>718</v>
      </c>
      <c r="G85" s="6" t="s">
        <v>1442</v>
      </c>
      <c r="H85" s="6">
        <v>1</v>
      </c>
      <c r="I85" s="6" t="s">
        <v>1059</v>
      </c>
      <c r="J85" s="6" t="s">
        <v>1443</v>
      </c>
      <c r="K85" s="6" t="s">
        <v>1444</v>
      </c>
      <c r="L85" s="6" t="s">
        <v>1454</v>
      </c>
      <c r="M85" s="6" t="s">
        <v>1446</v>
      </c>
    </row>
    <row r="86" spans="1:13" ht="45" customHeight="1">
      <c r="A86" s="4" t="s">
        <v>1536</v>
      </c>
      <c r="B86" s="4" t="s">
        <v>1441</v>
      </c>
      <c r="C86" s="4" t="s">
        <v>1326</v>
      </c>
      <c r="D86" s="4" t="s">
        <v>1047</v>
      </c>
      <c r="E86" s="4" t="s">
        <v>500</v>
      </c>
      <c r="F86" s="4" t="s">
        <v>725</v>
      </c>
      <c r="G86" s="4" t="s">
        <v>1442</v>
      </c>
      <c r="H86" s="4">
        <v>1</v>
      </c>
      <c r="I86" s="4" t="s">
        <v>1167</v>
      </c>
      <c r="J86" s="4" t="s">
        <v>1489</v>
      </c>
      <c r="K86" s="4" t="s">
        <v>1444</v>
      </c>
      <c r="L86" s="4" t="s">
        <v>1456</v>
      </c>
      <c r="M86" s="4" t="s">
        <v>1446</v>
      </c>
    </row>
    <row r="87" spans="1:13" ht="45" customHeight="1">
      <c r="A87" s="6" t="s">
        <v>1537</v>
      </c>
      <c r="B87" s="6" t="s">
        <v>1441</v>
      </c>
      <c r="C87" s="6" t="s">
        <v>1329</v>
      </c>
      <c r="D87" s="6" t="s">
        <v>1047</v>
      </c>
      <c r="E87" s="6" t="s">
        <v>500</v>
      </c>
      <c r="F87" s="6" t="s">
        <v>735</v>
      </c>
      <c r="G87" s="6" t="s">
        <v>1442</v>
      </c>
      <c r="H87" s="6">
        <v>1</v>
      </c>
      <c r="I87" s="6" t="s">
        <v>1059</v>
      </c>
      <c r="J87" s="6" t="s">
        <v>1443</v>
      </c>
      <c r="K87" s="6" t="s">
        <v>1444</v>
      </c>
      <c r="L87" s="6" t="s">
        <v>1458</v>
      </c>
      <c r="M87" s="6" t="s">
        <v>1446</v>
      </c>
    </row>
    <row r="88" spans="1:13" ht="45" customHeight="1">
      <c r="A88" s="4" t="s">
        <v>1538</v>
      </c>
      <c r="B88" s="4" t="s">
        <v>1441</v>
      </c>
      <c r="C88" s="4" t="s">
        <v>1333</v>
      </c>
      <c r="D88" s="4" t="s">
        <v>1047</v>
      </c>
      <c r="E88" s="4" t="s">
        <v>500</v>
      </c>
      <c r="F88" s="4" t="s">
        <v>743</v>
      </c>
      <c r="G88" s="4" t="s">
        <v>1442</v>
      </c>
      <c r="H88" s="4">
        <v>1</v>
      </c>
      <c r="I88" s="4" t="s">
        <v>1213</v>
      </c>
      <c r="J88" s="4" t="s">
        <v>1502</v>
      </c>
      <c r="K88" s="4" t="s">
        <v>1444</v>
      </c>
      <c r="L88" s="4" t="s">
        <v>1445</v>
      </c>
      <c r="M88" s="4" t="s">
        <v>1446</v>
      </c>
    </row>
    <row r="89" spans="1:13" ht="45" customHeight="1">
      <c r="A89" s="6" t="s">
        <v>1539</v>
      </c>
      <c r="B89" s="6" t="s">
        <v>1441</v>
      </c>
      <c r="C89" s="6" t="s">
        <v>1337</v>
      </c>
      <c r="D89" s="6" t="s">
        <v>1026</v>
      </c>
      <c r="E89" s="6" t="s">
        <v>463</v>
      </c>
      <c r="F89" s="6" t="s">
        <v>833</v>
      </c>
      <c r="G89" s="6" t="s">
        <v>1442</v>
      </c>
      <c r="H89" s="6">
        <v>1</v>
      </c>
      <c r="I89" s="6" t="s">
        <v>1213</v>
      </c>
      <c r="J89" s="6" t="s">
        <v>1502</v>
      </c>
      <c r="K89" s="6" t="s">
        <v>1444</v>
      </c>
      <c r="L89" s="6" t="s">
        <v>1448</v>
      </c>
      <c r="M89" s="6" t="s">
        <v>1446</v>
      </c>
    </row>
    <row r="90" spans="1:13" ht="45" customHeight="1">
      <c r="A90" s="4" t="s">
        <v>1540</v>
      </c>
      <c r="B90" s="4" t="s">
        <v>1441</v>
      </c>
      <c r="C90" s="4" t="s">
        <v>1341</v>
      </c>
      <c r="D90" s="4" t="s">
        <v>1026</v>
      </c>
      <c r="E90" s="4" t="s">
        <v>463</v>
      </c>
      <c r="F90" s="4" t="s">
        <v>836</v>
      </c>
      <c r="G90" s="4" t="s">
        <v>1442</v>
      </c>
      <c r="H90" s="4">
        <v>1</v>
      </c>
      <c r="I90" s="4" t="s">
        <v>1059</v>
      </c>
      <c r="J90" s="4" t="s">
        <v>1443</v>
      </c>
      <c r="K90" s="4" t="s">
        <v>1444</v>
      </c>
      <c r="L90" s="4" t="s">
        <v>1450</v>
      </c>
      <c r="M90" s="4" t="s">
        <v>1446</v>
      </c>
    </row>
    <row r="91" spans="1:13" ht="45" customHeight="1">
      <c r="A91" s="6" t="s">
        <v>1541</v>
      </c>
      <c r="B91" s="6" t="s">
        <v>1441</v>
      </c>
      <c r="C91" s="6" t="s">
        <v>1345</v>
      </c>
      <c r="D91" s="6" t="s">
        <v>1026</v>
      </c>
      <c r="E91" s="6" t="s">
        <v>463</v>
      </c>
      <c r="F91" s="6" t="s">
        <v>839</v>
      </c>
      <c r="G91" s="6" t="s">
        <v>1442</v>
      </c>
      <c r="H91" s="6">
        <v>1</v>
      </c>
      <c r="I91" s="6" t="s">
        <v>1167</v>
      </c>
      <c r="J91" s="6" t="s">
        <v>1489</v>
      </c>
      <c r="K91" s="6" t="s">
        <v>1444</v>
      </c>
      <c r="L91" s="6" t="s">
        <v>1452</v>
      </c>
      <c r="M91" s="6" t="s">
        <v>1446</v>
      </c>
    </row>
    <row r="92" spans="1:13" ht="45" customHeight="1">
      <c r="A92" s="4" t="s">
        <v>1542</v>
      </c>
      <c r="B92" s="4" t="s">
        <v>1441</v>
      </c>
      <c r="C92" s="4" t="s">
        <v>1349</v>
      </c>
      <c r="D92" s="4" t="s">
        <v>1026</v>
      </c>
      <c r="E92" s="4" t="s">
        <v>463</v>
      </c>
      <c r="F92" s="4" t="s">
        <v>842</v>
      </c>
      <c r="G92" s="4" t="s">
        <v>1442</v>
      </c>
      <c r="H92" s="4">
        <v>1</v>
      </c>
      <c r="I92" s="4" t="s">
        <v>1059</v>
      </c>
      <c r="J92" s="4" t="s">
        <v>1443</v>
      </c>
      <c r="K92" s="4" t="s">
        <v>1444</v>
      </c>
      <c r="L92" s="4" t="s">
        <v>1454</v>
      </c>
      <c r="M92" s="4" t="s">
        <v>1446</v>
      </c>
    </row>
    <row r="93" spans="1:13" ht="45" customHeight="1">
      <c r="A93" s="6" t="s">
        <v>1543</v>
      </c>
      <c r="B93" s="6" t="s">
        <v>1441</v>
      </c>
      <c r="C93" s="6" t="s">
        <v>1353</v>
      </c>
      <c r="D93" s="6" t="s">
        <v>1026</v>
      </c>
      <c r="E93" s="6" t="s">
        <v>463</v>
      </c>
      <c r="F93" s="6" t="s">
        <v>845</v>
      </c>
      <c r="G93" s="6" t="s">
        <v>1442</v>
      </c>
      <c r="H93" s="6">
        <v>1</v>
      </c>
      <c r="I93" s="6" t="s">
        <v>1059</v>
      </c>
      <c r="J93" s="6" t="s">
        <v>1443</v>
      </c>
      <c r="K93" s="6" t="s">
        <v>1444</v>
      </c>
      <c r="L93" s="6" t="s">
        <v>1456</v>
      </c>
      <c r="M93" s="6" t="s">
        <v>1446</v>
      </c>
    </row>
    <row r="94" spans="1:13" ht="45" customHeight="1">
      <c r="A94" s="4" t="s">
        <v>1544</v>
      </c>
      <c r="B94" s="4" t="s">
        <v>1441</v>
      </c>
      <c r="C94" s="4" t="s">
        <v>1357</v>
      </c>
      <c r="D94" s="4" t="s">
        <v>1026</v>
      </c>
      <c r="E94" s="4" t="s">
        <v>463</v>
      </c>
      <c r="F94" s="4" t="s">
        <v>848</v>
      </c>
      <c r="G94" s="4" t="s">
        <v>1442</v>
      </c>
      <c r="H94" s="4">
        <v>1</v>
      </c>
      <c r="I94" s="4" t="s">
        <v>1167</v>
      </c>
      <c r="J94" s="4" t="s">
        <v>1489</v>
      </c>
      <c r="K94" s="4" t="s">
        <v>1444</v>
      </c>
      <c r="L94" s="4" t="s">
        <v>1458</v>
      </c>
      <c r="M94" s="4" t="s">
        <v>1446</v>
      </c>
    </row>
    <row r="95" spans="1:13" ht="45" customHeight="1">
      <c r="A95" s="6" t="s">
        <v>1545</v>
      </c>
      <c r="B95" s="6" t="s">
        <v>1441</v>
      </c>
      <c r="C95" s="6" t="s">
        <v>1361</v>
      </c>
      <c r="D95" s="6" t="s">
        <v>1026</v>
      </c>
      <c r="E95" s="6" t="s">
        <v>463</v>
      </c>
      <c r="F95" s="6" t="s">
        <v>851</v>
      </c>
      <c r="G95" s="6" t="s">
        <v>1442</v>
      </c>
      <c r="H95" s="6">
        <v>1</v>
      </c>
      <c r="I95" s="6" t="s">
        <v>1167</v>
      </c>
      <c r="J95" s="6" t="s">
        <v>1489</v>
      </c>
      <c r="K95" s="6" t="s">
        <v>1444</v>
      </c>
      <c r="L95" s="6" t="s">
        <v>1445</v>
      </c>
      <c r="M95" s="6" t="s">
        <v>1446</v>
      </c>
    </row>
    <row r="96" spans="1:13" ht="45" customHeight="1">
      <c r="A96" s="4" t="s">
        <v>1546</v>
      </c>
      <c r="B96" s="4" t="s">
        <v>1441</v>
      </c>
      <c r="C96" s="4" t="s">
        <v>1365</v>
      </c>
      <c r="D96" s="4" t="s">
        <v>1026</v>
      </c>
      <c r="E96" s="4" t="s">
        <v>463</v>
      </c>
      <c r="F96" s="4" t="s">
        <v>854</v>
      </c>
      <c r="G96" s="4" t="s">
        <v>1442</v>
      </c>
      <c r="H96" s="4">
        <v>1</v>
      </c>
      <c r="I96" s="4" t="s">
        <v>1167</v>
      </c>
      <c r="J96" s="4" t="s">
        <v>1489</v>
      </c>
      <c r="K96" s="4" t="s">
        <v>1444</v>
      </c>
      <c r="L96" s="4" t="s">
        <v>1448</v>
      </c>
      <c r="M96" s="4" t="s">
        <v>1446</v>
      </c>
    </row>
    <row r="97" spans="1:13" ht="45" customHeight="1">
      <c r="A97" s="6" t="s">
        <v>1547</v>
      </c>
      <c r="B97" s="6" t="s">
        <v>1441</v>
      </c>
      <c r="C97" s="6" t="s">
        <v>1369</v>
      </c>
      <c r="D97" s="6" t="s">
        <v>1026</v>
      </c>
      <c r="E97" s="6" t="s">
        <v>463</v>
      </c>
      <c r="F97" s="6" t="s">
        <v>857</v>
      </c>
      <c r="G97" s="6" t="s">
        <v>1442</v>
      </c>
      <c r="H97" s="6">
        <v>1</v>
      </c>
      <c r="I97" s="6" t="s">
        <v>1213</v>
      </c>
      <c r="J97" s="6" t="s">
        <v>1502</v>
      </c>
      <c r="K97" s="6" t="s">
        <v>1444</v>
      </c>
      <c r="L97" s="6" t="s">
        <v>1450</v>
      </c>
      <c r="M97" s="6" t="s">
        <v>1446</v>
      </c>
    </row>
    <row r="98" spans="1:13" ht="45" customHeight="1">
      <c r="A98" s="4" t="s">
        <v>1548</v>
      </c>
      <c r="B98" s="4" t="s">
        <v>1441</v>
      </c>
      <c r="C98" s="4" t="s">
        <v>1373</v>
      </c>
      <c r="D98" s="4" t="s">
        <v>1026</v>
      </c>
      <c r="E98" s="4" t="s">
        <v>463</v>
      </c>
      <c r="F98" s="4" t="s">
        <v>860</v>
      </c>
      <c r="G98" s="4" t="s">
        <v>1442</v>
      </c>
      <c r="H98" s="4">
        <v>1</v>
      </c>
      <c r="I98" s="4" t="s">
        <v>1059</v>
      </c>
      <c r="J98" s="4" t="s">
        <v>1443</v>
      </c>
      <c r="K98" s="4" t="s">
        <v>1444</v>
      </c>
      <c r="L98" s="4" t="s">
        <v>1452</v>
      </c>
      <c r="M98" s="4" t="s">
        <v>1446</v>
      </c>
    </row>
    <row r="99" spans="1:13" ht="45" customHeight="1">
      <c r="A99" s="6" t="s">
        <v>1549</v>
      </c>
      <c r="B99" s="6" t="s">
        <v>1441</v>
      </c>
      <c r="C99" s="6" t="s">
        <v>1377</v>
      </c>
      <c r="D99" s="6" t="s">
        <v>1035</v>
      </c>
      <c r="E99" s="6" t="s">
        <v>475</v>
      </c>
      <c r="F99" s="6" t="s">
        <v>833</v>
      </c>
      <c r="G99" s="6" t="s">
        <v>1442</v>
      </c>
      <c r="H99" s="6">
        <v>1</v>
      </c>
      <c r="I99" s="6" t="s">
        <v>1167</v>
      </c>
      <c r="J99" s="6" t="s">
        <v>1489</v>
      </c>
      <c r="K99" s="6" t="s">
        <v>1444</v>
      </c>
      <c r="L99" s="6" t="s">
        <v>1454</v>
      </c>
      <c r="M99" s="6" t="s">
        <v>1446</v>
      </c>
    </row>
    <row r="100" spans="1:13" ht="45" customHeight="1">
      <c r="A100" s="4" t="s">
        <v>1550</v>
      </c>
      <c r="B100" s="4" t="s">
        <v>1441</v>
      </c>
      <c r="C100" s="4" t="s">
        <v>1380</v>
      </c>
      <c r="D100" s="4" t="s">
        <v>1035</v>
      </c>
      <c r="E100" s="4" t="s">
        <v>475</v>
      </c>
      <c r="F100" s="4" t="s">
        <v>836</v>
      </c>
      <c r="G100" s="4" t="s">
        <v>1442</v>
      </c>
      <c r="H100" s="4">
        <v>1</v>
      </c>
      <c r="I100" s="4" t="s">
        <v>1167</v>
      </c>
      <c r="J100" s="4" t="s">
        <v>1489</v>
      </c>
      <c r="K100" s="4" t="s">
        <v>1444</v>
      </c>
      <c r="L100" s="4" t="s">
        <v>1456</v>
      </c>
      <c r="M100" s="4" t="s">
        <v>1446</v>
      </c>
    </row>
    <row r="101" spans="1:13" ht="45" customHeight="1">
      <c r="A101" s="6" t="s">
        <v>1551</v>
      </c>
      <c r="B101" s="6" t="s">
        <v>1441</v>
      </c>
      <c r="C101" s="6" t="s">
        <v>1383</v>
      </c>
      <c r="D101" s="6" t="s">
        <v>1035</v>
      </c>
      <c r="E101" s="6" t="s">
        <v>475</v>
      </c>
      <c r="F101" s="6" t="s">
        <v>842</v>
      </c>
      <c r="G101" s="6" t="s">
        <v>1442</v>
      </c>
      <c r="H101" s="6">
        <v>1</v>
      </c>
      <c r="I101" s="6" t="s">
        <v>1167</v>
      </c>
      <c r="J101" s="6" t="s">
        <v>1489</v>
      </c>
      <c r="K101" s="6" t="s">
        <v>1444</v>
      </c>
      <c r="L101" s="6" t="s">
        <v>1458</v>
      </c>
      <c r="M101" s="6" t="s">
        <v>1446</v>
      </c>
    </row>
    <row r="102" spans="1:13" ht="45" customHeight="1">
      <c r="A102" s="4" t="s">
        <v>1552</v>
      </c>
      <c r="B102" s="4" t="s">
        <v>1441</v>
      </c>
      <c r="C102" s="4" t="s">
        <v>1386</v>
      </c>
      <c r="D102" s="4" t="s">
        <v>1035</v>
      </c>
      <c r="E102" s="4" t="s">
        <v>475</v>
      </c>
      <c r="F102" s="4" t="s">
        <v>866</v>
      </c>
      <c r="G102" s="4" t="s">
        <v>1442</v>
      </c>
      <c r="H102" s="4">
        <v>1</v>
      </c>
      <c r="I102" s="4" t="s">
        <v>1059</v>
      </c>
      <c r="J102" s="4" t="s">
        <v>1443</v>
      </c>
      <c r="K102" s="4" t="s">
        <v>1444</v>
      </c>
      <c r="L102" s="4" t="s">
        <v>1445</v>
      </c>
      <c r="M102" s="4" t="s">
        <v>1446</v>
      </c>
    </row>
    <row r="103" spans="1:13" ht="45" customHeight="1">
      <c r="A103" s="6" t="s">
        <v>1553</v>
      </c>
      <c r="B103" s="6" t="s">
        <v>1441</v>
      </c>
      <c r="C103" s="6" t="s">
        <v>1390</v>
      </c>
      <c r="D103" s="6" t="s">
        <v>1035</v>
      </c>
      <c r="E103" s="6" t="s">
        <v>475</v>
      </c>
      <c r="F103" s="6" t="s">
        <v>869</v>
      </c>
      <c r="G103" s="6" t="s">
        <v>1442</v>
      </c>
      <c r="H103" s="6">
        <v>1</v>
      </c>
      <c r="I103" s="6" t="s">
        <v>1059</v>
      </c>
      <c r="J103" s="6" t="s">
        <v>1443</v>
      </c>
      <c r="K103" s="6" t="s">
        <v>1444</v>
      </c>
      <c r="L103" s="6" t="s">
        <v>1448</v>
      </c>
      <c r="M103" s="6" t="s">
        <v>1446</v>
      </c>
    </row>
    <row r="104" spans="1:13" ht="45" customHeight="1">
      <c r="A104" s="4" t="s">
        <v>1554</v>
      </c>
      <c r="B104" s="4" t="s">
        <v>1441</v>
      </c>
      <c r="C104" s="4" t="s">
        <v>1394</v>
      </c>
      <c r="D104" s="4" t="s">
        <v>1035</v>
      </c>
      <c r="E104" s="4" t="s">
        <v>475</v>
      </c>
      <c r="F104" s="4" t="s">
        <v>848</v>
      </c>
      <c r="G104" s="4" t="s">
        <v>1442</v>
      </c>
      <c r="H104" s="4">
        <v>1</v>
      </c>
      <c r="I104" s="4" t="s">
        <v>1167</v>
      </c>
      <c r="J104" s="4" t="s">
        <v>1489</v>
      </c>
      <c r="K104" s="4" t="s">
        <v>1444</v>
      </c>
      <c r="L104" s="4" t="s">
        <v>1450</v>
      </c>
      <c r="M104" s="4" t="s">
        <v>1446</v>
      </c>
    </row>
    <row r="105" spans="1:13" ht="45" customHeight="1">
      <c r="A105" s="6" t="s">
        <v>1555</v>
      </c>
      <c r="B105" s="6" t="s">
        <v>1441</v>
      </c>
      <c r="C105" s="6" t="s">
        <v>1397</v>
      </c>
      <c r="D105" s="6" t="s">
        <v>1035</v>
      </c>
      <c r="E105" s="6" t="s">
        <v>475</v>
      </c>
      <c r="F105" s="6" t="s">
        <v>851</v>
      </c>
      <c r="G105" s="6" t="s">
        <v>1442</v>
      </c>
      <c r="H105" s="6">
        <v>1</v>
      </c>
      <c r="I105" s="6" t="s">
        <v>1059</v>
      </c>
      <c r="J105" s="6" t="s">
        <v>1443</v>
      </c>
      <c r="K105" s="6" t="s">
        <v>1444</v>
      </c>
      <c r="L105" s="6" t="s">
        <v>1452</v>
      </c>
      <c r="M105" s="6" t="s">
        <v>1446</v>
      </c>
    </row>
    <row r="106" spans="1:13" ht="45" customHeight="1">
      <c r="A106" s="4" t="s">
        <v>1556</v>
      </c>
      <c r="B106" s="4" t="s">
        <v>1441</v>
      </c>
      <c r="C106" s="4" t="s">
        <v>1400</v>
      </c>
      <c r="D106" s="4" t="s">
        <v>1035</v>
      </c>
      <c r="E106" s="4" t="s">
        <v>475</v>
      </c>
      <c r="F106" s="4" t="s">
        <v>854</v>
      </c>
      <c r="G106" s="4" t="s">
        <v>1442</v>
      </c>
      <c r="H106" s="4">
        <v>1</v>
      </c>
      <c r="I106" s="4" t="s">
        <v>1167</v>
      </c>
      <c r="J106" s="4" t="s">
        <v>1489</v>
      </c>
      <c r="K106" s="4" t="s">
        <v>1444</v>
      </c>
      <c r="L106" s="4" t="s">
        <v>1454</v>
      </c>
      <c r="M106" s="4" t="s">
        <v>1446</v>
      </c>
    </row>
    <row r="107" spans="1:13" ht="45" customHeight="1">
      <c r="A107" s="6" t="s">
        <v>1557</v>
      </c>
      <c r="B107" s="6" t="s">
        <v>1441</v>
      </c>
      <c r="C107" s="6" t="s">
        <v>1403</v>
      </c>
      <c r="D107" s="6" t="s">
        <v>1035</v>
      </c>
      <c r="E107" s="6" t="s">
        <v>475</v>
      </c>
      <c r="F107" s="6" t="s">
        <v>857</v>
      </c>
      <c r="G107" s="6" t="s">
        <v>1442</v>
      </c>
      <c r="H107" s="6">
        <v>1</v>
      </c>
      <c r="I107" s="6" t="s">
        <v>1059</v>
      </c>
      <c r="J107" s="6" t="s">
        <v>1443</v>
      </c>
      <c r="K107" s="6" t="s">
        <v>1444</v>
      </c>
      <c r="L107" s="6" t="s">
        <v>1456</v>
      </c>
      <c r="M107" s="6" t="s">
        <v>1446</v>
      </c>
    </row>
    <row r="108" spans="1:13" ht="45" customHeight="1">
      <c r="A108" s="4" t="s">
        <v>1558</v>
      </c>
      <c r="B108" s="4" t="s">
        <v>1441</v>
      </c>
      <c r="C108" s="4" t="s">
        <v>1406</v>
      </c>
      <c r="D108" s="4" t="s">
        <v>1035</v>
      </c>
      <c r="E108" s="4" t="s">
        <v>475</v>
      </c>
      <c r="F108" s="4" t="s">
        <v>860</v>
      </c>
      <c r="G108" s="4" t="s">
        <v>1442</v>
      </c>
      <c r="H108" s="4">
        <v>1</v>
      </c>
      <c r="I108" s="4" t="s">
        <v>1059</v>
      </c>
      <c r="J108" s="4" t="s">
        <v>1443</v>
      </c>
      <c r="K108" s="4" t="s">
        <v>1444</v>
      </c>
      <c r="L108" s="4" t="s">
        <v>1458</v>
      </c>
      <c r="M108" s="4" t="s">
        <v>1446</v>
      </c>
    </row>
    <row r="109" spans="1:13" ht="45" customHeight="1">
      <c r="A109" s="6" t="s">
        <v>1559</v>
      </c>
      <c r="B109" s="6" t="s">
        <v>1441</v>
      </c>
      <c r="C109" s="6" t="s">
        <v>1409</v>
      </c>
      <c r="D109" s="6" t="s">
        <v>1033</v>
      </c>
      <c r="E109" s="6" t="s">
        <v>471</v>
      </c>
      <c r="F109" s="6" t="s">
        <v>833</v>
      </c>
      <c r="G109" s="6" t="s">
        <v>1442</v>
      </c>
      <c r="H109" s="6">
        <v>1</v>
      </c>
      <c r="I109" s="6" t="s">
        <v>1167</v>
      </c>
      <c r="J109" s="6" t="s">
        <v>1489</v>
      </c>
      <c r="K109" s="6" t="s">
        <v>1444</v>
      </c>
      <c r="L109" s="6" t="s">
        <v>1445</v>
      </c>
      <c r="M109" s="6" t="s">
        <v>1446</v>
      </c>
    </row>
    <row r="110" spans="1:13" ht="45" customHeight="1">
      <c r="A110" s="4" t="s">
        <v>1560</v>
      </c>
      <c r="B110" s="4" t="s">
        <v>1441</v>
      </c>
      <c r="C110" s="4" t="s">
        <v>1412</v>
      </c>
      <c r="D110" s="4" t="s">
        <v>1033</v>
      </c>
      <c r="E110" s="4" t="s">
        <v>471</v>
      </c>
      <c r="F110" s="4" t="s">
        <v>836</v>
      </c>
      <c r="G110" s="4" t="s">
        <v>1442</v>
      </c>
      <c r="H110" s="4">
        <v>1</v>
      </c>
      <c r="I110" s="4" t="s">
        <v>1167</v>
      </c>
      <c r="J110" s="4" t="s">
        <v>1489</v>
      </c>
      <c r="K110" s="4" t="s">
        <v>1444</v>
      </c>
      <c r="L110" s="4" t="s">
        <v>1448</v>
      </c>
      <c r="M110" s="4" t="s">
        <v>1446</v>
      </c>
    </row>
    <row r="111" spans="1:13" ht="45" customHeight="1">
      <c r="A111" s="6" t="s">
        <v>1561</v>
      </c>
      <c r="B111" s="6" t="s">
        <v>1441</v>
      </c>
      <c r="C111" s="6" t="s">
        <v>1415</v>
      </c>
      <c r="D111" s="6" t="s">
        <v>1033</v>
      </c>
      <c r="E111" s="6" t="s">
        <v>471</v>
      </c>
      <c r="F111" s="6" t="s">
        <v>839</v>
      </c>
      <c r="G111" s="6" t="s">
        <v>1442</v>
      </c>
      <c r="H111" s="6">
        <v>1</v>
      </c>
      <c r="I111" s="6" t="s">
        <v>1059</v>
      </c>
      <c r="J111" s="6" t="s">
        <v>1443</v>
      </c>
      <c r="K111" s="6" t="s">
        <v>1444</v>
      </c>
      <c r="L111" s="6" t="s">
        <v>1450</v>
      </c>
      <c r="M111" s="6" t="s">
        <v>1446</v>
      </c>
    </row>
    <row r="112" spans="1:13" ht="45" customHeight="1">
      <c r="A112" s="4" t="s">
        <v>1562</v>
      </c>
      <c r="B112" s="4" t="s">
        <v>1441</v>
      </c>
      <c r="C112" s="4" t="s">
        <v>1418</v>
      </c>
      <c r="D112" s="4" t="s">
        <v>1033</v>
      </c>
      <c r="E112" s="4" t="s">
        <v>471</v>
      </c>
      <c r="F112" s="4" t="s">
        <v>842</v>
      </c>
      <c r="G112" s="4" t="s">
        <v>1442</v>
      </c>
      <c r="H112" s="4">
        <v>1</v>
      </c>
      <c r="I112" s="4" t="s">
        <v>1059</v>
      </c>
      <c r="J112" s="4" t="s">
        <v>1443</v>
      </c>
      <c r="K112" s="4" t="s">
        <v>1444</v>
      </c>
      <c r="L112" s="4" t="s">
        <v>1452</v>
      </c>
      <c r="M112" s="4" t="s">
        <v>1446</v>
      </c>
    </row>
    <row r="113" spans="1:13" ht="45" customHeight="1">
      <c r="A113" s="6" t="s">
        <v>1563</v>
      </c>
      <c r="B113" s="6" t="s">
        <v>1441</v>
      </c>
      <c r="C113" s="6" t="s">
        <v>1421</v>
      </c>
      <c r="D113" s="6" t="s">
        <v>1033</v>
      </c>
      <c r="E113" s="6" t="s">
        <v>471</v>
      </c>
      <c r="F113" s="6" t="s">
        <v>881</v>
      </c>
      <c r="G113" s="6" t="s">
        <v>1442</v>
      </c>
      <c r="H113" s="6">
        <v>1</v>
      </c>
      <c r="I113" s="6" t="s">
        <v>1167</v>
      </c>
      <c r="J113" s="6" t="s">
        <v>1489</v>
      </c>
      <c r="K113" s="6" t="s">
        <v>1444</v>
      </c>
      <c r="L113" s="6" t="s">
        <v>1454</v>
      </c>
      <c r="M113" s="6" t="s">
        <v>1446</v>
      </c>
    </row>
    <row r="114" spans="1:13" ht="45" customHeight="1">
      <c r="A114" s="4" t="s">
        <v>1564</v>
      </c>
      <c r="B114" s="4" t="s">
        <v>1441</v>
      </c>
      <c r="C114" s="4" t="s">
        <v>1424</v>
      </c>
      <c r="D114" s="4" t="s">
        <v>1033</v>
      </c>
      <c r="E114" s="4" t="s">
        <v>471</v>
      </c>
      <c r="F114" s="4" t="s">
        <v>848</v>
      </c>
      <c r="G114" s="4" t="s">
        <v>1442</v>
      </c>
      <c r="H114" s="4">
        <v>1</v>
      </c>
      <c r="I114" s="4" t="s">
        <v>1059</v>
      </c>
      <c r="J114" s="4" t="s">
        <v>1443</v>
      </c>
      <c r="K114" s="4" t="s">
        <v>1444</v>
      </c>
      <c r="L114" s="4" t="s">
        <v>1456</v>
      </c>
      <c r="M114" s="4" t="s">
        <v>1446</v>
      </c>
    </row>
    <row r="115" spans="1:13" ht="45" customHeight="1">
      <c r="A115" s="6" t="s">
        <v>1565</v>
      </c>
      <c r="B115" s="6" t="s">
        <v>1441</v>
      </c>
      <c r="C115" s="6" t="s">
        <v>1427</v>
      </c>
      <c r="D115" s="6" t="s">
        <v>1033</v>
      </c>
      <c r="E115" s="6" t="s">
        <v>471</v>
      </c>
      <c r="F115" s="6" t="s">
        <v>851</v>
      </c>
      <c r="G115" s="6" t="s">
        <v>1442</v>
      </c>
      <c r="H115" s="6">
        <v>1</v>
      </c>
      <c r="I115" s="6" t="s">
        <v>1213</v>
      </c>
      <c r="J115" s="6" t="s">
        <v>1502</v>
      </c>
      <c r="K115" s="6" t="s">
        <v>1444</v>
      </c>
      <c r="L115" s="6" t="s">
        <v>1458</v>
      </c>
      <c r="M115" s="6" t="s">
        <v>1446</v>
      </c>
    </row>
    <row r="116" spans="1:13" ht="45" customHeight="1">
      <c r="A116" s="4" t="s">
        <v>1566</v>
      </c>
      <c r="B116" s="4" t="s">
        <v>1441</v>
      </c>
      <c r="C116" s="4" t="s">
        <v>1430</v>
      </c>
      <c r="D116" s="4" t="s">
        <v>1033</v>
      </c>
      <c r="E116" s="4" t="s">
        <v>471</v>
      </c>
      <c r="F116" s="4" t="s">
        <v>854</v>
      </c>
      <c r="G116" s="4" t="s">
        <v>1442</v>
      </c>
      <c r="H116" s="4">
        <v>1</v>
      </c>
      <c r="I116" s="4" t="s">
        <v>1059</v>
      </c>
      <c r="J116" s="4" t="s">
        <v>1443</v>
      </c>
      <c r="K116" s="4" t="s">
        <v>1444</v>
      </c>
      <c r="L116" s="4" t="s">
        <v>1445</v>
      </c>
      <c r="M116" s="4" t="s">
        <v>1446</v>
      </c>
    </row>
    <row r="117" spans="1:13" ht="45" customHeight="1">
      <c r="A117" s="6" t="s">
        <v>1567</v>
      </c>
      <c r="B117" s="6" t="s">
        <v>1441</v>
      </c>
      <c r="C117" s="6" t="s">
        <v>1433</v>
      </c>
      <c r="D117" s="6" t="s">
        <v>1033</v>
      </c>
      <c r="E117" s="6" t="s">
        <v>471</v>
      </c>
      <c r="F117" s="6" t="s">
        <v>857</v>
      </c>
      <c r="G117" s="6" t="s">
        <v>1442</v>
      </c>
      <c r="H117" s="6">
        <v>1</v>
      </c>
      <c r="I117" s="6" t="s">
        <v>1059</v>
      </c>
      <c r="J117" s="6" t="s">
        <v>1443</v>
      </c>
      <c r="K117" s="6" t="s">
        <v>1444</v>
      </c>
      <c r="L117" s="6" t="s">
        <v>1448</v>
      </c>
      <c r="M117" s="6" t="s">
        <v>1446</v>
      </c>
    </row>
    <row r="118" spans="1:13" ht="45" customHeight="1">
      <c r="A118" s="4" t="s">
        <v>1568</v>
      </c>
      <c r="B118" s="4" t="s">
        <v>1441</v>
      </c>
      <c r="C118" s="4" t="s">
        <v>1436</v>
      </c>
      <c r="D118" s="4" t="s">
        <v>1033</v>
      </c>
      <c r="E118" s="4" t="s">
        <v>471</v>
      </c>
      <c r="F118" s="4" t="s">
        <v>860</v>
      </c>
      <c r="G118" s="4" t="s">
        <v>1442</v>
      </c>
      <c r="H118" s="4">
        <v>1</v>
      </c>
      <c r="I118" s="4" t="s">
        <v>1059</v>
      </c>
      <c r="J118" s="4" t="s">
        <v>1443</v>
      </c>
      <c r="K118" s="4" t="s">
        <v>1444</v>
      </c>
      <c r="L118" s="4" t="s">
        <v>1450</v>
      </c>
      <c r="M118" s="4" t="s">
        <v>1446</v>
      </c>
    </row>
  </sheetData>
  <autoFilter ref="A3:M118" xr:uid="{00000000-0009-0000-0000-00000D000000}"/>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2"/>
  <sheetViews>
    <sheetView showGridLines="0" workbookViewId="0">
      <pane ySplit="3" topLeftCell="A4" activePane="bottomLeft" state="frozen"/>
      <selection pane="bottomLeft"/>
    </sheetView>
  </sheetViews>
  <sheetFormatPr defaultRowHeight="15"/>
  <cols>
    <col min="1" max="1" width="22" customWidth="1"/>
    <col min="2" max="2" width="45" customWidth="1"/>
    <col min="3" max="3" width="14" customWidth="1"/>
    <col min="4" max="4" width="12" customWidth="1"/>
    <col min="5" max="6" width="45" customWidth="1"/>
    <col min="7" max="7" width="25" customWidth="1"/>
    <col min="8" max="8" width="23" customWidth="1"/>
    <col min="9" max="9" width="20" customWidth="1"/>
    <col min="10" max="10" width="21" customWidth="1"/>
    <col min="11" max="11" width="20" customWidth="1"/>
    <col min="12" max="14" width="45" customWidth="1"/>
  </cols>
  <sheetData>
    <row r="1" spans="1:14" ht="26.1" customHeight="1">
      <c r="A1" s="16" t="s">
        <v>1569</v>
      </c>
      <c r="B1" s="17"/>
      <c r="C1" s="17"/>
      <c r="D1" s="17"/>
      <c r="E1" s="17"/>
      <c r="F1" s="17"/>
      <c r="G1" s="17"/>
      <c r="H1" s="17"/>
      <c r="I1" s="17"/>
      <c r="J1" s="17"/>
      <c r="K1" s="17"/>
      <c r="L1" s="17"/>
    </row>
    <row r="3" spans="1:14">
      <c r="A3" s="2" t="s">
        <v>300</v>
      </c>
      <c r="B3" s="2" t="s">
        <v>62</v>
      </c>
      <c r="C3" s="2" t="s">
        <v>230</v>
      </c>
      <c r="D3" s="2" t="s">
        <v>154</v>
      </c>
      <c r="E3" s="2" t="s">
        <v>151</v>
      </c>
      <c r="F3" s="2" t="s">
        <v>232</v>
      </c>
      <c r="G3" s="2" t="s">
        <v>302</v>
      </c>
      <c r="H3" s="2" t="s">
        <v>238</v>
      </c>
      <c r="I3" s="2" t="s">
        <v>304</v>
      </c>
      <c r="J3" s="2" t="s">
        <v>306</v>
      </c>
      <c r="K3" s="2" t="s">
        <v>308</v>
      </c>
      <c r="L3" s="2" t="s">
        <v>310</v>
      </c>
      <c r="M3" s="2" t="s">
        <v>312</v>
      </c>
      <c r="N3" s="2" t="s">
        <v>314</v>
      </c>
    </row>
    <row r="4" spans="1:14" ht="45" customHeight="1">
      <c r="A4" s="4" t="s">
        <v>1570</v>
      </c>
      <c r="B4" s="4" t="s">
        <v>1571</v>
      </c>
      <c r="C4" s="4" t="s">
        <v>1026</v>
      </c>
      <c r="D4" s="4" t="s">
        <v>464</v>
      </c>
      <c r="E4" s="4" t="s">
        <v>463</v>
      </c>
      <c r="F4" s="4" t="s">
        <v>1028</v>
      </c>
      <c r="G4" s="11">
        <f>COUNTIFS(Assessment_QBank!B:B,C4,Assessment_QBank!X:X,"Yes",Assessment_QBank!Y:Y,"Core Selected Role")</f>
        <v>4</v>
      </c>
      <c r="H4" s="4">
        <v>20</v>
      </c>
      <c r="I4" s="4" t="s">
        <v>1572</v>
      </c>
      <c r="J4" s="4" t="s">
        <v>1573</v>
      </c>
      <c r="K4" s="4" t="s">
        <v>1574</v>
      </c>
      <c r="L4" s="4" t="s">
        <v>1575</v>
      </c>
      <c r="M4" s="4" t="s">
        <v>1576</v>
      </c>
      <c r="N4" s="4" t="s">
        <v>1577</v>
      </c>
    </row>
    <row r="5" spans="1:14" ht="45" customHeight="1">
      <c r="A5" s="6" t="s">
        <v>1578</v>
      </c>
      <c r="B5" s="6" t="s">
        <v>1571</v>
      </c>
      <c r="C5" s="6" t="s">
        <v>1033</v>
      </c>
      <c r="D5" s="6" t="s">
        <v>464</v>
      </c>
      <c r="E5" s="6" t="s">
        <v>471</v>
      </c>
      <c r="F5" s="6" t="s">
        <v>1034</v>
      </c>
      <c r="G5" s="12">
        <f>COUNTIFS(Assessment_QBank!B:B,C5,Assessment_QBank!X:X,"Yes",Assessment_QBank!Y:Y,"Core Selected Role")</f>
        <v>6</v>
      </c>
      <c r="H5" s="6">
        <v>20</v>
      </c>
      <c r="I5" s="6" t="s">
        <v>1572</v>
      </c>
      <c r="J5" s="6" t="s">
        <v>1573</v>
      </c>
      <c r="K5" s="6" t="s">
        <v>1574</v>
      </c>
      <c r="L5" s="6" t="s">
        <v>1579</v>
      </c>
      <c r="M5" s="6" t="s">
        <v>1576</v>
      </c>
      <c r="N5" s="6" t="s">
        <v>1577</v>
      </c>
    </row>
    <row r="6" spans="1:14" ht="45" customHeight="1">
      <c r="A6" s="4" t="s">
        <v>1580</v>
      </c>
      <c r="B6" s="4" t="s">
        <v>1571</v>
      </c>
      <c r="C6" s="4" t="s">
        <v>1035</v>
      </c>
      <c r="D6" s="4" t="s">
        <v>464</v>
      </c>
      <c r="E6" s="4" t="s">
        <v>475</v>
      </c>
      <c r="F6" s="4" t="s">
        <v>1036</v>
      </c>
      <c r="G6" s="11">
        <f>COUNTIFS(Assessment_QBank!B:B,C6,Assessment_QBank!X:X,"Yes",Assessment_QBank!Y:Y,"Core Selected Role")</f>
        <v>5</v>
      </c>
      <c r="H6" s="4">
        <v>20</v>
      </c>
      <c r="I6" s="4" t="s">
        <v>1572</v>
      </c>
      <c r="J6" s="4" t="s">
        <v>1573</v>
      </c>
      <c r="K6" s="4" t="s">
        <v>1574</v>
      </c>
      <c r="L6" s="4" t="s">
        <v>1581</v>
      </c>
      <c r="M6" s="4" t="s">
        <v>1576</v>
      </c>
      <c r="N6" s="4" t="s">
        <v>1577</v>
      </c>
    </row>
    <row r="7" spans="1:14" ht="45" customHeight="1">
      <c r="A7" s="6" t="s">
        <v>1582</v>
      </c>
      <c r="B7" s="6" t="s">
        <v>1571</v>
      </c>
      <c r="C7" s="6" t="s">
        <v>1037</v>
      </c>
      <c r="D7" s="6" t="s">
        <v>482</v>
      </c>
      <c r="E7" s="6" t="s">
        <v>481</v>
      </c>
      <c r="F7" s="6" t="s">
        <v>1038</v>
      </c>
      <c r="G7" s="12">
        <f>COUNTIFS(Assessment_QBank!B:B,C7,Assessment_QBank!X:X,"Yes",Assessment_QBank!Y:Y,"Core Selected Role")</f>
        <v>14</v>
      </c>
      <c r="H7" s="6">
        <v>20</v>
      </c>
      <c r="I7" s="6" t="s">
        <v>1583</v>
      </c>
      <c r="J7" s="6" t="s">
        <v>1573</v>
      </c>
      <c r="K7" s="6" t="s">
        <v>1574</v>
      </c>
      <c r="L7" s="6" t="s">
        <v>1584</v>
      </c>
      <c r="M7" s="6" t="s">
        <v>1576</v>
      </c>
      <c r="N7" s="6" t="s">
        <v>1577</v>
      </c>
    </row>
    <row r="8" spans="1:14" ht="45" customHeight="1">
      <c r="A8" s="4" t="s">
        <v>1585</v>
      </c>
      <c r="B8" s="4" t="s">
        <v>1571</v>
      </c>
      <c r="C8" s="4" t="s">
        <v>1039</v>
      </c>
      <c r="D8" s="4" t="s">
        <v>482</v>
      </c>
      <c r="E8" s="4" t="s">
        <v>487</v>
      </c>
      <c r="F8" s="4" t="s">
        <v>1040</v>
      </c>
      <c r="G8" s="11">
        <f>COUNTIFS(Assessment_QBank!B:B,C8,Assessment_QBank!X:X,"Yes",Assessment_QBank!Y:Y,"Core Selected Role")</f>
        <v>5</v>
      </c>
      <c r="H8" s="4">
        <v>20</v>
      </c>
      <c r="I8" s="4" t="s">
        <v>1572</v>
      </c>
      <c r="J8" s="4" t="s">
        <v>1573</v>
      </c>
      <c r="K8" s="4" t="s">
        <v>1574</v>
      </c>
      <c r="L8" s="4" t="s">
        <v>1586</v>
      </c>
      <c r="M8" s="4" t="s">
        <v>1576</v>
      </c>
      <c r="N8" s="4" t="s">
        <v>1577</v>
      </c>
    </row>
    <row r="9" spans="1:14" ht="45" customHeight="1">
      <c r="A9" s="6" t="s">
        <v>1587</v>
      </c>
      <c r="B9" s="6" t="s">
        <v>1571</v>
      </c>
      <c r="C9" s="6" t="s">
        <v>1041</v>
      </c>
      <c r="D9" s="6" t="s">
        <v>482</v>
      </c>
      <c r="E9" s="6" t="s">
        <v>490</v>
      </c>
      <c r="F9" s="6" t="s">
        <v>1042</v>
      </c>
      <c r="G9" s="12">
        <f>COUNTIFS(Assessment_QBank!B:B,C9,Assessment_QBank!X:X,"Yes",Assessment_QBank!Y:Y,"Core Selected Role")</f>
        <v>13</v>
      </c>
      <c r="H9" s="6">
        <v>20</v>
      </c>
      <c r="I9" s="6" t="s">
        <v>1583</v>
      </c>
      <c r="J9" s="6" t="s">
        <v>1573</v>
      </c>
      <c r="K9" s="6" t="s">
        <v>1574</v>
      </c>
      <c r="L9" s="6" t="s">
        <v>1588</v>
      </c>
      <c r="M9" s="6" t="s">
        <v>1576</v>
      </c>
      <c r="N9" s="6" t="s">
        <v>1577</v>
      </c>
    </row>
    <row r="10" spans="1:14" ht="45" customHeight="1">
      <c r="A10" s="4" t="s">
        <v>1589</v>
      </c>
      <c r="B10" s="4" t="s">
        <v>1571</v>
      </c>
      <c r="C10" s="4" t="s">
        <v>1043</v>
      </c>
      <c r="D10" s="4" t="s">
        <v>493</v>
      </c>
      <c r="E10" s="4" t="s">
        <v>492</v>
      </c>
      <c r="F10" s="4" t="s">
        <v>1044</v>
      </c>
      <c r="G10" s="11">
        <f>COUNTIFS(Assessment_QBank!B:B,C10,Assessment_QBank!X:X,"Yes",Assessment_QBank!Y:Y,"Core Selected Role")</f>
        <v>4</v>
      </c>
      <c r="H10" s="4">
        <v>20</v>
      </c>
      <c r="I10" s="4" t="s">
        <v>1572</v>
      </c>
      <c r="J10" s="4" t="s">
        <v>1573</v>
      </c>
      <c r="K10" s="4" t="s">
        <v>1574</v>
      </c>
      <c r="L10" s="4" t="s">
        <v>1590</v>
      </c>
      <c r="M10" s="4" t="s">
        <v>1576</v>
      </c>
      <c r="N10" s="4" t="s">
        <v>1577</v>
      </c>
    </row>
    <row r="11" spans="1:14" ht="45" customHeight="1">
      <c r="A11" s="6" t="s">
        <v>1591</v>
      </c>
      <c r="B11" s="6" t="s">
        <v>1571</v>
      </c>
      <c r="C11" s="6" t="s">
        <v>1045</v>
      </c>
      <c r="D11" s="6" t="s">
        <v>493</v>
      </c>
      <c r="E11" s="6" t="s">
        <v>497</v>
      </c>
      <c r="F11" s="6" t="s">
        <v>1046</v>
      </c>
      <c r="G11" s="12">
        <f>COUNTIFS(Assessment_QBank!B:B,C11,Assessment_QBank!X:X,"Yes",Assessment_QBank!Y:Y,"Core Selected Role")</f>
        <v>6</v>
      </c>
      <c r="H11" s="6">
        <v>20</v>
      </c>
      <c r="I11" s="6" t="s">
        <v>1572</v>
      </c>
      <c r="J11" s="6" t="s">
        <v>1573</v>
      </c>
      <c r="K11" s="6" t="s">
        <v>1574</v>
      </c>
      <c r="L11" s="6" t="s">
        <v>1592</v>
      </c>
      <c r="M11" s="6" t="s">
        <v>1576</v>
      </c>
      <c r="N11" s="6" t="s">
        <v>1577</v>
      </c>
    </row>
    <row r="12" spans="1:14" ht="45" customHeight="1">
      <c r="A12" s="4" t="s">
        <v>1593</v>
      </c>
      <c r="B12" s="4" t="s">
        <v>1571</v>
      </c>
      <c r="C12" s="4" t="s">
        <v>1047</v>
      </c>
      <c r="D12" s="4" t="s">
        <v>493</v>
      </c>
      <c r="E12" s="4" t="s">
        <v>500</v>
      </c>
      <c r="F12" s="4" t="s">
        <v>1048</v>
      </c>
      <c r="G12" s="11">
        <f>COUNTIFS(Assessment_QBank!B:B,C12,Assessment_QBank!X:X,"Yes",Assessment_QBank!Y:Y,"Core Selected Role")</f>
        <v>5</v>
      </c>
      <c r="H12" s="4">
        <v>20</v>
      </c>
      <c r="I12" s="4" t="s">
        <v>1572</v>
      </c>
      <c r="J12" s="4" t="s">
        <v>1573</v>
      </c>
      <c r="K12" s="4" t="s">
        <v>1574</v>
      </c>
      <c r="L12" s="4" t="s">
        <v>1594</v>
      </c>
      <c r="M12" s="4" t="s">
        <v>1576</v>
      </c>
      <c r="N12" s="4" t="s">
        <v>1577</v>
      </c>
    </row>
  </sheetData>
  <autoFilter ref="A3:N12" xr:uid="{00000000-0009-0000-0000-00000E000000}"/>
  <mergeCells count="1">
    <mergeCell ref="A1:L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9"/>
  <sheetViews>
    <sheetView showGridLines="0" workbookViewId="0">
      <pane ySplit="3" topLeftCell="A4" activePane="bottomLeft" state="frozen"/>
      <selection pane="bottomLeft"/>
    </sheetView>
  </sheetViews>
  <sheetFormatPr defaultRowHeight="15"/>
  <cols>
    <col min="1" max="1" width="13" customWidth="1"/>
    <col min="2" max="2" width="25" customWidth="1"/>
    <col min="3" max="3" width="30" customWidth="1"/>
    <col min="4" max="4" width="12" customWidth="1"/>
    <col min="5" max="5" width="23" customWidth="1"/>
    <col min="6" max="7" width="45" customWidth="1"/>
    <col min="8" max="8" width="12" customWidth="1"/>
    <col min="9" max="9" width="22" customWidth="1"/>
    <col min="10" max="10" width="27" customWidth="1"/>
    <col min="11" max="11" width="45" customWidth="1"/>
    <col min="12" max="12" width="27" customWidth="1"/>
    <col min="13" max="13" width="24" customWidth="1"/>
    <col min="14" max="14" width="22" customWidth="1"/>
  </cols>
  <sheetData>
    <row r="1" spans="1:14" ht="26.1" customHeight="1">
      <c r="A1" s="16" t="s">
        <v>1595</v>
      </c>
      <c r="B1" s="17"/>
      <c r="C1" s="17"/>
      <c r="D1" s="17"/>
      <c r="E1" s="17"/>
      <c r="F1" s="17"/>
      <c r="G1" s="17"/>
      <c r="H1" s="17"/>
      <c r="I1" s="17"/>
      <c r="J1" s="17"/>
      <c r="K1" s="17"/>
      <c r="L1" s="17"/>
    </row>
    <row r="3" spans="1:14">
      <c r="A3" s="2" t="s">
        <v>316</v>
      </c>
      <c r="B3" s="2" t="s">
        <v>320</v>
      </c>
      <c r="C3" s="2" t="s">
        <v>62</v>
      </c>
      <c r="D3" s="2" t="s">
        <v>154</v>
      </c>
      <c r="E3" s="2" t="s">
        <v>322</v>
      </c>
      <c r="F3" s="2" t="s">
        <v>151</v>
      </c>
      <c r="G3" s="2" t="s">
        <v>158</v>
      </c>
      <c r="H3" s="2" t="s">
        <v>160</v>
      </c>
      <c r="I3" s="2" t="s">
        <v>324</v>
      </c>
      <c r="J3" s="2" t="s">
        <v>326</v>
      </c>
      <c r="K3" s="2" t="s">
        <v>328</v>
      </c>
      <c r="L3" s="2" t="s">
        <v>330</v>
      </c>
      <c r="M3" s="2" t="s">
        <v>332</v>
      </c>
      <c r="N3" s="2" t="s">
        <v>334</v>
      </c>
    </row>
    <row r="4" spans="1:14" ht="45" customHeight="1">
      <c r="A4" s="13" t="s">
        <v>1596</v>
      </c>
      <c r="B4" s="13" t="s">
        <v>1597</v>
      </c>
      <c r="C4" s="13" t="s">
        <v>318</v>
      </c>
      <c r="D4" s="13" t="s">
        <v>464</v>
      </c>
      <c r="E4" s="13" t="s">
        <v>1598</v>
      </c>
      <c r="F4" s="13" t="s">
        <v>463</v>
      </c>
      <c r="G4" s="13" t="s">
        <v>466</v>
      </c>
      <c r="H4" s="13" t="s">
        <v>467</v>
      </c>
      <c r="I4" s="13" t="s">
        <v>1599</v>
      </c>
      <c r="J4" s="13" t="s">
        <v>1600</v>
      </c>
      <c r="K4" s="13" t="s">
        <v>1601</v>
      </c>
      <c r="L4" s="13" t="s">
        <v>1602</v>
      </c>
      <c r="M4" s="13" t="s">
        <v>1603</v>
      </c>
      <c r="N4" s="13" t="s">
        <v>1604</v>
      </c>
    </row>
    <row r="5" spans="1:14" ht="45" customHeight="1">
      <c r="A5" s="14" t="s">
        <v>1605</v>
      </c>
      <c r="B5" s="14" t="s">
        <v>1606</v>
      </c>
      <c r="C5" s="14" t="s">
        <v>318</v>
      </c>
      <c r="D5" s="14" t="s">
        <v>464</v>
      </c>
      <c r="E5" s="14" t="s">
        <v>1598</v>
      </c>
      <c r="F5" s="14" t="s">
        <v>463</v>
      </c>
      <c r="G5" s="14" t="s">
        <v>466</v>
      </c>
      <c r="H5" s="14" t="s">
        <v>467</v>
      </c>
      <c r="I5" s="14" t="s">
        <v>1599</v>
      </c>
      <c r="J5" s="14" t="s">
        <v>1600</v>
      </c>
      <c r="K5" s="14" t="s">
        <v>1601</v>
      </c>
      <c r="L5" s="14" t="s">
        <v>1602</v>
      </c>
      <c r="M5" s="14" t="s">
        <v>1603</v>
      </c>
      <c r="N5" s="14" t="s">
        <v>1604</v>
      </c>
    </row>
    <row r="6" spans="1:14" ht="45" customHeight="1">
      <c r="A6" s="13" t="s">
        <v>1607</v>
      </c>
      <c r="B6" s="13" t="s">
        <v>1608</v>
      </c>
      <c r="C6" s="13" t="s">
        <v>318</v>
      </c>
      <c r="D6" s="13" t="s">
        <v>464</v>
      </c>
      <c r="E6" s="13" t="s">
        <v>1598</v>
      </c>
      <c r="F6" s="13" t="s">
        <v>463</v>
      </c>
      <c r="G6" s="13" t="s">
        <v>466</v>
      </c>
      <c r="H6" s="13" t="s">
        <v>467</v>
      </c>
      <c r="I6" s="13" t="s">
        <v>1599</v>
      </c>
      <c r="J6" s="13" t="s">
        <v>1600</v>
      </c>
      <c r="K6" s="13" t="s">
        <v>1601</v>
      </c>
      <c r="L6" s="13" t="s">
        <v>1602</v>
      </c>
      <c r="M6" s="13" t="s">
        <v>1603</v>
      </c>
      <c r="N6" s="13" t="s">
        <v>1604</v>
      </c>
    </row>
    <row r="7" spans="1:14" ht="45" customHeight="1">
      <c r="A7" s="14" t="s">
        <v>1609</v>
      </c>
      <c r="B7" s="14" t="s">
        <v>1610</v>
      </c>
      <c r="C7" s="14" t="s">
        <v>318</v>
      </c>
      <c r="D7" s="14" t="s">
        <v>464</v>
      </c>
      <c r="E7" s="14" t="s">
        <v>1598</v>
      </c>
      <c r="F7" s="14" t="s">
        <v>463</v>
      </c>
      <c r="G7" s="14" t="s">
        <v>466</v>
      </c>
      <c r="H7" s="14" t="s">
        <v>467</v>
      </c>
      <c r="I7" s="14" t="s">
        <v>1599</v>
      </c>
      <c r="J7" s="14" t="s">
        <v>1600</v>
      </c>
      <c r="K7" s="14" t="s">
        <v>1601</v>
      </c>
      <c r="L7" s="14" t="s">
        <v>1602</v>
      </c>
      <c r="M7" s="14" t="s">
        <v>1603</v>
      </c>
      <c r="N7" s="14" t="s">
        <v>1604</v>
      </c>
    </row>
    <row r="8" spans="1:14" ht="45" customHeight="1">
      <c r="A8" s="13" t="s">
        <v>1611</v>
      </c>
      <c r="B8" s="13" t="s">
        <v>1612</v>
      </c>
      <c r="C8" s="13" t="s">
        <v>318</v>
      </c>
      <c r="D8" s="13" t="s">
        <v>464</v>
      </c>
      <c r="E8" s="13" t="s">
        <v>1613</v>
      </c>
      <c r="F8" s="13" t="s">
        <v>471</v>
      </c>
      <c r="G8" s="13" t="s">
        <v>473</v>
      </c>
      <c r="H8" s="13" t="s">
        <v>467</v>
      </c>
      <c r="I8" s="13" t="s">
        <v>1614</v>
      </c>
      <c r="J8" s="13" t="s">
        <v>1600</v>
      </c>
      <c r="K8" s="13" t="s">
        <v>1601</v>
      </c>
      <c r="L8" s="13" t="s">
        <v>1602</v>
      </c>
      <c r="M8" s="13" t="s">
        <v>1615</v>
      </c>
      <c r="N8" s="13" t="s">
        <v>1604</v>
      </c>
    </row>
    <row r="9" spans="1:14" ht="45" customHeight="1">
      <c r="A9" s="14" t="s">
        <v>1616</v>
      </c>
      <c r="B9" s="14" t="s">
        <v>1617</v>
      </c>
      <c r="C9" s="14" t="s">
        <v>318</v>
      </c>
      <c r="D9" s="14" t="s">
        <v>464</v>
      </c>
      <c r="E9" s="14" t="s">
        <v>1613</v>
      </c>
      <c r="F9" s="14" t="s">
        <v>471</v>
      </c>
      <c r="G9" s="14" t="s">
        <v>473</v>
      </c>
      <c r="H9" s="14" t="s">
        <v>467</v>
      </c>
      <c r="I9" s="14" t="s">
        <v>1614</v>
      </c>
      <c r="J9" s="14" t="s">
        <v>1600</v>
      </c>
      <c r="K9" s="14" t="s">
        <v>1601</v>
      </c>
      <c r="L9" s="14" t="s">
        <v>1602</v>
      </c>
      <c r="M9" s="14" t="s">
        <v>1615</v>
      </c>
      <c r="N9" s="14" t="s">
        <v>1604</v>
      </c>
    </row>
    <row r="10" spans="1:14" ht="45" customHeight="1">
      <c r="A10" s="13" t="s">
        <v>1618</v>
      </c>
      <c r="B10" s="13" t="s">
        <v>1619</v>
      </c>
      <c r="C10" s="13" t="s">
        <v>318</v>
      </c>
      <c r="D10" s="13" t="s">
        <v>464</v>
      </c>
      <c r="E10" s="13" t="s">
        <v>1613</v>
      </c>
      <c r="F10" s="13" t="s">
        <v>471</v>
      </c>
      <c r="G10" s="13" t="s">
        <v>473</v>
      </c>
      <c r="H10" s="13" t="s">
        <v>467</v>
      </c>
      <c r="I10" s="13" t="s">
        <v>1614</v>
      </c>
      <c r="J10" s="13" t="s">
        <v>1600</v>
      </c>
      <c r="K10" s="13" t="s">
        <v>1601</v>
      </c>
      <c r="L10" s="13" t="s">
        <v>1602</v>
      </c>
      <c r="M10" s="13" t="s">
        <v>1615</v>
      </c>
      <c r="N10" s="13" t="s">
        <v>1604</v>
      </c>
    </row>
    <row r="11" spans="1:14" ht="45" customHeight="1">
      <c r="A11" s="14" t="s">
        <v>1620</v>
      </c>
      <c r="B11" s="14" t="s">
        <v>1621</v>
      </c>
      <c r="C11" s="14" t="s">
        <v>318</v>
      </c>
      <c r="D11" s="14" t="s">
        <v>464</v>
      </c>
      <c r="E11" s="14" t="s">
        <v>1613</v>
      </c>
      <c r="F11" s="14" t="s">
        <v>471</v>
      </c>
      <c r="G11" s="14" t="s">
        <v>473</v>
      </c>
      <c r="H11" s="14" t="s">
        <v>467</v>
      </c>
      <c r="I11" s="14" t="s">
        <v>1614</v>
      </c>
      <c r="J11" s="14" t="s">
        <v>1600</v>
      </c>
      <c r="K11" s="14" t="s">
        <v>1601</v>
      </c>
      <c r="L11" s="14" t="s">
        <v>1602</v>
      </c>
      <c r="M11" s="14" t="s">
        <v>1615</v>
      </c>
      <c r="N11" s="14" t="s">
        <v>1604</v>
      </c>
    </row>
    <row r="12" spans="1:14" ht="45" customHeight="1">
      <c r="A12" s="13" t="s">
        <v>1622</v>
      </c>
      <c r="B12" s="13" t="s">
        <v>1623</v>
      </c>
      <c r="C12" s="13" t="s">
        <v>318</v>
      </c>
      <c r="D12" s="13" t="s">
        <v>464</v>
      </c>
      <c r="E12" s="13" t="s">
        <v>1624</v>
      </c>
      <c r="F12" s="13" t="s">
        <v>475</v>
      </c>
      <c r="G12" s="13" t="s">
        <v>477</v>
      </c>
      <c r="H12" s="13" t="s">
        <v>478</v>
      </c>
      <c r="I12" s="13" t="s">
        <v>1625</v>
      </c>
      <c r="J12" s="13" t="s">
        <v>1600</v>
      </c>
      <c r="K12" s="13" t="s">
        <v>1601</v>
      </c>
      <c r="L12" s="13" t="s">
        <v>1602</v>
      </c>
      <c r="M12" s="13" t="s">
        <v>1626</v>
      </c>
      <c r="N12" s="13" t="s">
        <v>1604</v>
      </c>
    </row>
    <row r="13" spans="1:14" ht="45" customHeight="1">
      <c r="A13" s="14" t="s">
        <v>1627</v>
      </c>
      <c r="B13" s="14" t="s">
        <v>1628</v>
      </c>
      <c r="C13" s="14" t="s">
        <v>318</v>
      </c>
      <c r="D13" s="14" t="s">
        <v>464</v>
      </c>
      <c r="E13" s="14" t="s">
        <v>1624</v>
      </c>
      <c r="F13" s="14" t="s">
        <v>475</v>
      </c>
      <c r="G13" s="14" t="s">
        <v>477</v>
      </c>
      <c r="H13" s="14" t="s">
        <v>478</v>
      </c>
      <c r="I13" s="14" t="s">
        <v>1625</v>
      </c>
      <c r="J13" s="14" t="s">
        <v>1600</v>
      </c>
      <c r="K13" s="14" t="s">
        <v>1601</v>
      </c>
      <c r="L13" s="14" t="s">
        <v>1602</v>
      </c>
      <c r="M13" s="14" t="s">
        <v>1626</v>
      </c>
      <c r="N13" s="14" t="s">
        <v>1604</v>
      </c>
    </row>
    <row r="14" spans="1:14" ht="45" customHeight="1">
      <c r="A14" s="13" t="s">
        <v>1629</v>
      </c>
      <c r="B14" s="13" t="s">
        <v>1630</v>
      </c>
      <c r="C14" s="13" t="s">
        <v>318</v>
      </c>
      <c r="D14" s="13" t="s">
        <v>464</v>
      </c>
      <c r="E14" s="13" t="s">
        <v>1624</v>
      </c>
      <c r="F14" s="13" t="s">
        <v>475</v>
      </c>
      <c r="G14" s="13" t="s">
        <v>477</v>
      </c>
      <c r="H14" s="13" t="s">
        <v>478</v>
      </c>
      <c r="I14" s="13" t="s">
        <v>1625</v>
      </c>
      <c r="J14" s="13" t="s">
        <v>1600</v>
      </c>
      <c r="K14" s="13" t="s">
        <v>1601</v>
      </c>
      <c r="L14" s="13" t="s">
        <v>1602</v>
      </c>
      <c r="M14" s="13" t="s">
        <v>1626</v>
      </c>
      <c r="N14" s="13" t="s">
        <v>1604</v>
      </c>
    </row>
    <row r="15" spans="1:14" ht="45" customHeight="1">
      <c r="A15" s="14" t="s">
        <v>1631</v>
      </c>
      <c r="B15" s="14" t="s">
        <v>1632</v>
      </c>
      <c r="C15" s="14" t="s">
        <v>318</v>
      </c>
      <c r="D15" s="14" t="s">
        <v>464</v>
      </c>
      <c r="E15" s="14" t="s">
        <v>1624</v>
      </c>
      <c r="F15" s="14" t="s">
        <v>475</v>
      </c>
      <c r="G15" s="14" t="s">
        <v>477</v>
      </c>
      <c r="H15" s="14" t="s">
        <v>478</v>
      </c>
      <c r="I15" s="14" t="s">
        <v>1625</v>
      </c>
      <c r="J15" s="14" t="s">
        <v>1600</v>
      </c>
      <c r="K15" s="14" t="s">
        <v>1601</v>
      </c>
      <c r="L15" s="14" t="s">
        <v>1602</v>
      </c>
      <c r="M15" s="14" t="s">
        <v>1626</v>
      </c>
      <c r="N15" s="14" t="s">
        <v>1604</v>
      </c>
    </row>
    <row r="16" spans="1:14" ht="45" customHeight="1">
      <c r="A16" s="13" t="s">
        <v>1633</v>
      </c>
      <c r="B16" s="13" t="s">
        <v>1634</v>
      </c>
      <c r="C16" s="13" t="s">
        <v>318</v>
      </c>
      <c r="D16" s="13" t="s">
        <v>482</v>
      </c>
      <c r="E16" s="13" t="s">
        <v>1635</v>
      </c>
      <c r="F16" s="13" t="s">
        <v>481</v>
      </c>
      <c r="G16" s="13" t="s">
        <v>484</v>
      </c>
      <c r="H16" s="13" t="s">
        <v>485</v>
      </c>
      <c r="I16" s="13" t="s">
        <v>1636</v>
      </c>
      <c r="J16" s="13" t="s">
        <v>1600</v>
      </c>
      <c r="K16" s="13" t="s">
        <v>1601</v>
      </c>
      <c r="L16" s="13" t="s">
        <v>1637</v>
      </c>
      <c r="M16" s="13" t="s">
        <v>1638</v>
      </c>
      <c r="N16" s="13" t="s">
        <v>1604</v>
      </c>
    </row>
    <row r="17" spans="1:14" ht="45" customHeight="1">
      <c r="A17" s="14" t="s">
        <v>1639</v>
      </c>
      <c r="B17" s="14" t="s">
        <v>1640</v>
      </c>
      <c r="C17" s="14" t="s">
        <v>318</v>
      </c>
      <c r="D17" s="14" t="s">
        <v>482</v>
      </c>
      <c r="E17" s="14" t="s">
        <v>1635</v>
      </c>
      <c r="F17" s="14" t="s">
        <v>481</v>
      </c>
      <c r="G17" s="14" t="s">
        <v>484</v>
      </c>
      <c r="H17" s="14" t="s">
        <v>485</v>
      </c>
      <c r="I17" s="14" t="s">
        <v>1636</v>
      </c>
      <c r="J17" s="14" t="s">
        <v>1600</v>
      </c>
      <c r="K17" s="14" t="s">
        <v>1601</v>
      </c>
      <c r="L17" s="14" t="s">
        <v>1637</v>
      </c>
      <c r="M17" s="14" t="s">
        <v>1638</v>
      </c>
      <c r="N17" s="14" t="s">
        <v>1604</v>
      </c>
    </row>
    <row r="18" spans="1:14" ht="45" customHeight="1">
      <c r="A18" s="13" t="s">
        <v>1641</v>
      </c>
      <c r="B18" s="13" t="s">
        <v>1642</v>
      </c>
      <c r="C18" s="13" t="s">
        <v>318</v>
      </c>
      <c r="D18" s="13" t="s">
        <v>482</v>
      </c>
      <c r="E18" s="13" t="s">
        <v>1635</v>
      </c>
      <c r="F18" s="13" t="s">
        <v>481</v>
      </c>
      <c r="G18" s="13" t="s">
        <v>484</v>
      </c>
      <c r="H18" s="13" t="s">
        <v>485</v>
      </c>
      <c r="I18" s="13" t="s">
        <v>1636</v>
      </c>
      <c r="J18" s="13" t="s">
        <v>1600</v>
      </c>
      <c r="K18" s="13" t="s">
        <v>1601</v>
      </c>
      <c r="L18" s="13" t="s">
        <v>1637</v>
      </c>
      <c r="M18" s="13" t="s">
        <v>1638</v>
      </c>
      <c r="N18" s="13" t="s">
        <v>1604</v>
      </c>
    </row>
    <row r="19" spans="1:14" ht="45" customHeight="1">
      <c r="A19" s="14" t="s">
        <v>1643</v>
      </c>
      <c r="B19" s="14" t="s">
        <v>1644</v>
      </c>
      <c r="C19" s="14" t="s">
        <v>318</v>
      </c>
      <c r="D19" s="14" t="s">
        <v>482</v>
      </c>
      <c r="E19" s="14" t="s">
        <v>1635</v>
      </c>
      <c r="F19" s="14" t="s">
        <v>481</v>
      </c>
      <c r="G19" s="14" t="s">
        <v>484</v>
      </c>
      <c r="H19" s="14" t="s">
        <v>485</v>
      </c>
      <c r="I19" s="14" t="s">
        <v>1636</v>
      </c>
      <c r="J19" s="14" t="s">
        <v>1600</v>
      </c>
      <c r="K19" s="14" t="s">
        <v>1601</v>
      </c>
      <c r="L19" s="14" t="s">
        <v>1637</v>
      </c>
      <c r="M19" s="14" t="s">
        <v>1638</v>
      </c>
      <c r="N19" s="14" t="s">
        <v>1604</v>
      </c>
    </row>
    <row r="20" spans="1:14" ht="45" customHeight="1">
      <c r="A20" s="13" t="s">
        <v>1645</v>
      </c>
      <c r="B20" s="13" t="s">
        <v>1646</v>
      </c>
      <c r="C20" s="13" t="s">
        <v>318</v>
      </c>
      <c r="D20" s="13" t="s">
        <v>482</v>
      </c>
      <c r="E20" s="13" t="s">
        <v>1647</v>
      </c>
      <c r="F20" s="13" t="s">
        <v>487</v>
      </c>
      <c r="G20" s="13" t="s">
        <v>488</v>
      </c>
      <c r="H20" s="13" t="s">
        <v>489</v>
      </c>
      <c r="I20" s="13" t="s">
        <v>1648</v>
      </c>
      <c r="J20" s="13" t="s">
        <v>1600</v>
      </c>
      <c r="K20" s="13" t="s">
        <v>1601</v>
      </c>
      <c r="L20" s="13" t="s">
        <v>1637</v>
      </c>
      <c r="M20" s="13" t="s">
        <v>1649</v>
      </c>
      <c r="N20" s="13" t="s">
        <v>1604</v>
      </c>
    </row>
    <row r="21" spans="1:14" ht="45" customHeight="1">
      <c r="A21" s="14" t="s">
        <v>1650</v>
      </c>
      <c r="B21" s="14" t="s">
        <v>1651</v>
      </c>
      <c r="C21" s="14" t="s">
        <v>318</v>
      </c>
      <c r="D21" s="14" t="s">
        <v>482</v>
      </c>
      <c r="E21" s="14" t="s">
        <v>1647</v>
      </c>
      <c r="F21" s="14" t="s">
        <v>487</v>
      </c>
      <c r="G21" s="14" t="s">
        <v>488</v>
      </c>
      <c r="H21" s="14" t="s">
        <v>489</v>
      </c>
      <c r="I21" s="14" t="s">
        <v>1648</v>
      </c>
      <c r="J21" s="14" t="s">
        <v>1600</v>
      </c>
      <c r="K21" s="14" t="s">
        <v>1601</v>
      </c>
      <c r="L21" s="14" t="s">
        <v>1637</v>
      </c>
      <c r="M21" s="14" t="s">
        <v>1649</v>
      </c>
      <c r="N21" s="14" t="s">
        <v>1604</v>
      </c>
    </row>
    <row r="22" spans="1:14" ht="45" customHeight="1">
      <c r="A22" s="13" t="s">
        <v>1652</v>
      </c>
      <c r="B22" s="13" t="s">
        <v>1653</v>
      </c>
      <c r="C22" s="13" t="s">
        <v>318</v>
      </c>
      <c r="D22" s="13" t="s">
        <v>482</v>
      </c>
      <c r="E22" s="13" t="s">
        <v>1647</v>
      </c>
      <c r="F22" s="13" t="s">
        <v>487</v>
      </c>
      <c r="G22" s="13" t="s">
        <v>488</v>
      </c>
      <c r="H22" s="13" t="s">
        <v>489</v>
      </c>
      <c r="I22" s="13" t="s">
        <v>1648</v>
      </c>
      <c r="J22" s="13" t="s">
        <v>1600</v>
      </c>
      <c r="K22" s="13" t="s">
        <v>1601</v>
      </c>
      <c r="L22" s="13" t="s">
        <v>1637</v>
      </c>
      <c r="M22" s="13" t="s">
        <v>1649</v>
      </c>
      <c r="N22" s="13" t="s">
        <v>1604</v>
      </c>
    </row>
    <row r="23" spans="1:14" ht="45" customHeight="1">
      <c r="A23" s="14" t="s">
        <v>1654</v>
      </c>
      <c r="B23" s="14" t="s">
        <v>1655</v>
      </c>
      <c r="C23" s="14" t="s">
        <v>318</v>
      </c>
      <c r="D23" s="14" t="s">
        <v>482</v>
      </c>
      <c r="E23" s="14" t="s">
        <v>1647</v>
      </c>
      <c r="F23" s="14" t="s">
        <v>487</v>
      </c>
      <c r="G23" s="14" t="s">
        <v>488</v>
      </c>
      <c r="H23" s="14" t="s">
        <v>489</v>
      </c>
      <c r="I23" s="14" t="s">
        <v>1648</v>
      </c>
      <c r="J23" s="14" t="s">
        <v>1600</v>
      </c>
      <c r="K23" s="14" t="s">
        <v>1601</v>
      </c>
      <c r="L23" s="14" t="s">
        <v>1637</v>
      </c>
      <c r="M23" s="14" t="s">
        <v>1649</v>
      </c>
      <c r="N23" s="14" t="s">
        <v>1604</v>
      </c>
    </row>
    <row r="24" spans="1:14" ht="45" customHeight="1">
      <c r="A24" s="13" t="s">
        <v>1656</v>
      </c>
      <c r="B24" s="13" t="s">
        <v>1657</v>
      </c>
      <c r="C24" s="13" t="s">
        <v>318</v>
      </c>
      <c r="D24" s="13" t="s">
        <v>482</v>
      </c>
      <c r="E24" s="13" t="s">
        <v>1658</v>
      </c>
      <c r="F24" s="13" t="s">
        <v>490</v>
      </c>
      <c r="G24" s="13" t="s">
        <v>491</v>
      </c>
      <c r="H24" s="13" t="s">
        <v>485</v>
      </c>
      <c r="I24" s="13" t="s">
        <v>1659</v>
      </c>
      <c r="J24" s="13" t="s">
        <v>1600</v>
      </c>
      <c r="K24" s="13" t="s">
        <v>1601</v>
      </c>
      <c r="L24" s="13" t="s">
        <v>1637</v>
      </c>
      <c r="M24" s="13" t="s">
        <v>1660</v>
      </c>
      <c r="N24" s="13" t="s">
        <v>1604</v>
      </c>
    </row>
    <row r="25" spans="1:14" ht="45" customHeight="1">
      <c r="A25" s="14" t="s">
        <v>1661</v>
      </c>
      <c r="B25" s="14" t="s">
        <v>1662</v>
      </c>
      <c r="C25" s="14" t="s">
        <v>318</v>
      </c>
      <c r="D25" s="14" t="s">
        <v>482</v>
      </c>
      <c r="E25" s="14" t="s">
        <v>1658</v>
      </c>
      <c r="F25" s="14" t="s">
        <v>490</v>
      </c>
      <c r="G25" s="14" t="s">
        <v>491</v>
      </c>
      <c r="H25" s="14" t="s">
        <v>485</v>
      </c>
      <c r="I25" s="14" t="s">
        <v>1659</v>
      </c>
      <c r="J25" s="14" t="s">
        <v>1600</v>
      </c>
      <c r="K25" s="14" t="s">
        <v>1601</v>
      </c>
      <c r="L25" s="14" t="s">
        <v>1637</v>
      </c>
      <c r="M25" s="14" t="s">
        <v>1660</v>
      </c>
      <c r="N25" s="14" t="s">
        <v>1604</v>
      </c>
    </row>
    <row r="26" spans="1:14" ht="45" customHeight="1">
      <c r="A26" s="13" t="s">
        <v>1663</v>
      </c>
      <c r="B26" s="13" t="s">
        <v>1664</v>
      </c>
      <c r="C26" s="13" t="s">
        <v>318</v>
      </c>
      <c r="D26" s="13" t="s">
        <v>482</v>
      </c>
      <c r="E26" s="13" t="s">
        <v>1658</v>
      </c>
      <c r="F26" s="13" t="s">
        <v>490</v>
      </c>
      <c r="G26" s="13" t="s">
        <v>491</v>
      </c>
      <c r="H26" s="13" t="s">
        <v>485</v>
      </c>
      <c r="I26" s="13" t="s">
        <v>1659</v>
      </c>
      <c r="J26" s="13" t="s">
        <v>1600</v>
      </c>
      <c r="K26" s="13" t="s">
        <v>1601</v>
      </c>
      <c r="L26" s="13" t="s">
        <v>1637</v>
      </c>
      <c r="M26" s="13" t="s">
        <v>1660</v>
      </c>
      <c r="N26" s="13" t="s">
        <v>1604</v>
      </c>
    </row>
    <row r="27" spans="1:14" ht="45" customHeight="1">
      <c r="A27" s="14" t="s">
        <v>1665</v>
      </c>
      <c r="B27" s="14" t="s">
        <v>1666</v>
      </c>
      <c r="C27" s="14" t="s">
        <v>318</v>
      </c>
      <c r="D27" s="14" t="s">
        <v>482</v>
      </c>
      <c r="E27" s="14" t="s">
        <v>1658</v>
      </c>
      <c r="F27" s="14" t="s">
        <v>490</v>
      </c>
      <c r="G27" s="14" t="s">
        <v>491</v>
      </c>
      <c r="H27" s="14" t="s">
        <v>485</v>
      </c>
      <c r="I27" s="14" t="s">
        <v>1659</v>
      </c>
      <c r="J27" s="14" t="s">
        <v>1600</v>
      </c>
      <c r="K27" s="14" t="s">
        <v>1601</v>
      </c>
      <c r="L27" s="14" t="s">
        <v>1637</v>
      </c>
      <c r="M27" s="14" t="s">
        <v>1660</v>
      </c>
      <c r="N27" s="14" t="s">
        <v>1604</v>
      </c>
    </row>
    <row r="28" spans="1:14" ht="45" customHeight="1">
      <c r="A28" s="13" t="s">
        <v>1667</v>
      </c>
      <c r="B28" s="13" t="s">
        <v>1668</v>
      </c>
      <c r="C28" s="13" t="s">
        <v>318</v>
      </c>
      <c r="D28" s="13" t="s">
        <v>493</v>
      </c>
      <c r="E28" s="13" t="s">
        <v>1669</v>
      </c>
      <c r="F28" s="13" t="s">
        <v>492</v>
      </c>
      <c r="G28" s="13" t="s">
        <v>495</v>
      </c>
      <c r="H28" s="13" t="s">
        <v>485</v>
      </c>
      <c r="I28" s="13" t="s">
        <v>1670</v>
      </c>
      <c r="J28" s="13" t="s">
        <v>1600</v>
      </c>
      <c r="K28" s="13" t="s">
        <v>1601</v>
      </c>
      <c r="L28" s="13" t="s">
        <v>1671</v>
      </c>
      <c r="M28" s="13" t="s">
        <v>1672</v>
      </c>
      <c r="N28" s="13" t="s">
        <v>1604</v>
      </c>
    </row>
    <row r="29" spans="1:14" ht="45" customHeight="1">
      <c r="A29" s="14" t="s">
        <v>1673</v>
      </c>
      <c r="B29" s="14" t="s">
        <v>1674</v>
      </c>
      <c r="C29" s="14" t="s">
        <v>318</v>
      </c>
      <c r="D29" s="14" t="s">
        <v>493</v>
      </c>
      <c r="E29" s="14" t="s">
        <v>1669</v>
      </c>
      <c r="F29" s="14" t="s">
        <v>492</v>
      </c>
      <c r="G29" s="14" t="s">
        <v>495</v>
      </c>
      <c r="H29" s="14" t="s">
        <v>485</v>
      </c>
      <c r="I29" s="14" t="s">
        <v>1670</v>
      </c>
      <c r="J29" s="14" t="s">
        <v>1600</v>
      </c>
      <c r="K29" s="14" t="s">
        <v>1601</v>
      </c>
      <c r="L29" s="14" t="s">
        <v>1671</v>
      </c>
      <c r="M29" s="14" t="s">
        <v>1672</v>
      </c>
      <c r="N29" s="14" t="s">
        <v>1604</v>
      </c>
    </row>
    <row r="30" spans="1:14" ht="45" customHeight="1">
      <c r="A30" s="13" t="s">
        <v>1675</v>
      </c>
      <c r="B30" s="13" t="s">
        <v>1676</v>
      </c>
      <c r="C30" s="13" t="s">
        <v>318</v>
      </c>
      <c r="D30" s="13" t="s">
        <v>493</v>
      </c>
      <c r="E30" s="13" t="s">
        <v>1669</v>
      </c>
      <c r="F30" s="13" t="s">
        <v>492</v>
      </c>
      <c r="G30" s="13" t="s">
        <v>495</v>
      </c>
      <c r="H30" s="13" t="s">
        <v>485</v>
      </c>
      <c r="I30" s="13" t="s">
        <v>1670</v>
      </c>
      <c r="J30" s="13" t="s">
        <v>1600</v>
      </c>
      <c r="K30" s="13" t="s">
        <v>1601</v>
      </c>
      <c r="L30" s="13" t="s">
        <v>1671</v>
      </c>
      <c r="M30" s="13" t="s">
        <v>1672</v>
      </c>
      <c r="N30" s="13" t="s">
        <v>1604</v>
      </c>
    </row>
    <row r="31" spans="1:14" ht="45" customHeight="1">
      <c r="A31" s="14" t="s">
        <v>1677</v>
      </c>
      <c r="B31" s="14" t="s">
        <v>1678</v>
      </c>
      <c r="C31" s="14" t="s">
        <v>318</v>
      </c>
      <c r="D31" s="14" t="s">
        <v>493</v>
      </c>
      <c r="E31" s="14" t="s">
        <v>1669</v>
      </c>
      <c r="F31" s="14" t="s">
        <v>492</v>
      </c>
      <c r="G31" s="14" t="s">
        <v>495</v>
      </c>
      <c r="H31" s="14" t="s">
        <v>485</v>
      </c>
      <c r="I31" s="14" t="s">
        <v>1670</v>
      </c>
      <c r="J31" s="14" t="s">
        <v>1600</v>
      </c>
      <c r="K31" s="14" t="s">
        <v>1601</v>
      </c>
      <c r="L31" s="14" t="s">
        <v>1671</v>
      </c>
      <c r="M31" s="14" t="s">
        <v>1672</v>
      </c>
      <c r="N31" s="14" t="s">
        <v>1604</v>
      </c>
    </row>
    <row r="32" spans="1:14" ht="45" customHeight="1">
      <c r="A32" s="13" t="s">
        <v>1679</v>
      </c>
      <c r="B32" s="13" t="s">
        <v>1680</v>
      </c>
      <c r="C32" s="13" t="s">
        <v>318</v>
      </c>
      <c r="D32" s="13" t="s">
        <v>493</v>
      </c>
      <c r="E32" s="13" t="s">
        <v>1681</v>
      </c>
      <c r="F32" s="13" t="s">
        <v>497</v>
      </c>
      <c r="G32" s="13" t="s">
        <v>498</v>
      </c>
      <c r="H32" s="13" t="s">
        <v>499</v>
      </c>
      <c r="I32" s="13" t="s">
        <v>1682</v>
      </c>
      <c r="J32" s="13" t="s">
        <v>1600</v>
      </c>
      <c r="K32" s="13" t="s">
        <v>1601</v>
      </c>
      <c r="L32" s="13" t="s">
        <v>1671</v>
      </c>
      <c r="M32" s="13" t="s">
        <v>1683</v>
      </c>
      <c r="N32" s="13" t="s">
        <v>1604</v>
      </c>
    </row>
    <row r="33" spans="1:14" ht="45" customHeight="1">
      <c r="A33" s="14" t="s">
        <v>1684</v>
      </c>
      <c r="B33" s="14" t="s">
        <v>1685</v>
      </c>
      <c r="C33" s="14" t="s">
        <v>318</v>
      </c>
      <c r="D33" s="14" t="s">
        <v>493</v>
      </c>
      <c r="E33" s="14" t="s">
        <v>1681</v>
      </c>
      <c r="F33" s="14" t="s">
        <v>497</v>
      </c>
      <c r="G33" s="14" t="s">
        <v>498</v>
      </c>
      <c r="H33" s="14" t="s">
        <v>499</v>
      </c>
      <c r="I33" s="14" t="s">
        <v>1682</v>
      </c>
      <c r="J33" s="14" t="s">
        <v>1600</v>
      </c>
      <c r="K33" s="14" t="s">
        <v>1601</v>
      </c>
      <c r="L33" s="14" t="s">
        <v>1671</v>
      </c>
      <c r="M33" s="14" t="s">
        <v>1683</v>
      </c>
      <c r="N33" s="14" t="s">
        <v>1604</v>
      </c>
    </row>
    <row r="34" spans="1:14" ht="45" customHeight="1">
      <c r="A34" s="13" t="s">
        <v>1686</v>
      </c>
      <c r="B34" s="13" t="s">
        <v>1687</v>
      </c>
      <c r="C34" s="13" t="s">
        <v>318</v>
      </c>
      <c r="D34" s="13" t="s">
        <v>493</v>
      </c>
      <c r="E34" s="13" t="s">
        <v>1681</v>
      </c>
      <c r="F34" s="13" t="s">
        <v>497</v>
      </c>
      <c r="G34" s="13" t="s">
        <v>498</v>
      </c>
      <c r="H34" s="13" t="s">
        <v>499</v>
      </c>
      <c r="I34" s="13" t="s">
        <v>1682</v>
      </c>
      <c r="J34" s="13" t="s">
        <v>1600</v>
      </c>
      <c r="K34" s="13" t="s">
        <v>1601</v>
      </c>
      <c r="L34" s="13" t="s">
        <v>1671</v>
      </c>
      <c r="M34" s="13" t="s">
        <v>1683</v>
      </c>
      <c r="N34" s="13" t="s">
        <v>1604</v>
      </c>
    </row>
    <row r="35" spans="1:14" ht="45" customHeight="1">
      <c r="A35" s="14" t="s">
        <v>1688</v>
      </c>
      <c r="B35" s="14" t="s">
        <v>1689</v>
      </c>
      <c r="C35" s="14" t="s">
        <v>318</v>
      </c>
      <c r="D35" s="14" t="s">
        <v>493</v>
      </c>
      <c r="E35" s="14" t="s">
        <v>1681</v>
      </c>
      <c r="F35" s="14" t="s">
        <v>497</v>
      </c>
      <c r="G35" s="14" t="s">
        <v>498</v>
      </c>
      <c r="H35" s="14" t="s">
        <v>499</v>
      </c>
      <c r="I35" s="14" t="s">
        <v>1682</v>
      </c>
      <c r="J35" s="14" t="s">
        <v>1600</v>
      </c>
      <c r="K35" s="14" t="s">
        <v>1601</v>
      </c>
      <c r="L35" s="14" t="s">
        <v>1671</v>
      </c>
      <c r="M35" s="14" t="s">
        <v>1683</v>
      </c>
      <c r="N35" s="14" t="s">
        <v>1604</v>
      </c>
    </row>
    <row r="36" spans="1:14" ht="45" customHeight="1">
      <c r="A36" s="13" t="s">
        <v>1690</v>
      </c>
      <c r="B36" s="13" t="s">
        <v>1691</v>
      </c>
      <c r="C36" s="13" t="s">
        <v>318</v>
      </c>
      <c r="D36" s="13" t="s">
        <v>493</v>
      </c>
      <c r="E36" s="13" t="s">
        <v>1692</v>
      </c>
      <c r="F36" s="13" t="s">
        <v>500</v>
      </c>
      <c r="G36" s="13" t="s">
        <v>501</v>
      </c>
      <c r="H36" s="13" t="s">
        <v>489</v>
      </c>
      <c r="I36" s="13" t="s">
        <v>1693</v>
      </c>
      <c r="J36" s="13" t="s">
        <v>1600</v>
      </c>
      <c r="K36" s="13" t="s">
        <v>1601</v>
      </c>
      <c r="L36" s="13" t="s">
        <v>1671</v>
      </c>
      <c r="M36" s="13" t="s">
        <v>1694</v>
      </c>
      <c r="N36" s="13" t="s">
        <v>1604</v>
      </c>
    </row>
    <row r="37" spans="1:14" ht="45" customHeight="1">
      <c r="A37" s="14" t="s">
        <v>1695</v>
      </c>
      <c r="B37" s="14" t="s">
        <v>1696</v>
      </c>
      <c r="C37" s="14" t="s">
        <v>318</v>
      </c>
      <c r="D37" s="14" t="s">
        <v>493</v>
      </c>
      <c r="E37" s="14" t="s">
        <v>1692</v>
      </c>
      <c r="F37" s="14" t="s">
        <v>500</v>
      </c>
      <c r="G37" s="14" t="s">
        <v>501</v>
      </c>
      <c r="H37" s="14" t="s">
        <v>489</v>
      </c>
      <c r="I37" s="14" t="s">
        <v>1693</v>
      </c>
      <c r="J37" s="14" t="s">
        <v>1600</v>
      </c>
      <c r="K37" s="14" t="s">
        <v>1601</v>
      </c>
      <c r="L37" s="14" t="s">
        <v>1671</v>
      </c>
      <c r="M37" s="14" t="s">
        <v>1694</v>
      </c>
      <c r="N37" s="14" t="s">
        <v>1604</v>
      </c>
    </row>
    <row r="38" spans="1:14" ht="45" customHeight="1">
      <c r="A38" s="13" t="s">
        <v>1697</v>
      </c>
      <c r="B38" s="13" t="s">
        <v>1698</v>
      </c>
      <c r="C38" s="13" t="s">
        <v>318</v>
      </c>
      <c r="D38" s="13" t="s">
        <v>493</v>
      </c>
      <c r="E38" s="13" t="s">
        <v>1692</v>
      </c>
      <c r="F38" s="13" t="s">
        <v>500</v>
      </c>
      <c r="G38" s="13" t="s">
        <v>501</v>
      </c>
      <c r="H38" s="13" t="s">
        <v>489</v>
      </c>
      <c r="I38" s="13" t="s">
        <v>1693</v>
      </c>
      <c r="J38" s="13" t="s">
        <v>1600</v>
      </c>
      <c r="K38" s="13" t="s">
        <v>1601</v>
      </c>
      <c r="L38" s="13" t="s">
        <v>1671</v>
      </c>
      <c r="M38" s="13" t="s">
        <v>1694</v>
      </c>
      <c r="N38" s="13" t="s">
        <v>1604</v>
      </c>
    </row>
    <row r="39" spans="1:14" ht="45" customHeight="1">
      <c r="A39" s="14" t="s">
        <v>1699</v>
      </c>
      <c r="B39" s="14" t="s">
        <v>1700</v>
      </c>
      <c r="C39" s="14" t="s">
        <v>318</v>
      </c>
      <c r="D39" s="14" t="s">
        <v>493</v>
      </c>
      <c r="E39" s="14" t="s">
        <v>1692</v>
      </c>
      <c r="F39" s="14" t="s">
        <v>500</v>
      </c>
      <c r="G39" s="14" t="s">
        <v>501</v>
      </c>
      <c r="H39" s="14" t="s">
        <v>489</v>
      </c>
      <c r="I39" s="14" t="s">
        <v>1693</v>
      </c>
      <c r="J39" s="14" t="s">
        <v>1600</v>
      </c>
      <c r="K39" s="14" t="s">
        <v>1601</v>
      </c>
      <c r="L39" s="14" t="s">
        <v>1671</v>
      </c>
      <c r="M39" s="14" t="s">
        <v>1694</v>
      </c>
      <c r="N39" s="14" t="s">
        <v>1604</v>
      </c>
    </row>
  </sheetData>
  <autoFilter ref="A3:N39" xr:uid="{00000000-0009-0000-0000-00000F000000}"/>
  <mergeCells count="1">
    <mergeCell ref="A1:L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39"/>
  <sheetViews>
    <sheetView showGridLines="0" workbookViewId="0">
      <pane ySplit="3" topLeftCell="A4" activePane="bottomLeft" state="frozen"/>
      <selection pane="bottomLeft"/>
    </sheetView>
  </sheetViews>
  <sheetFormatPr defaultRowHeight="15"/>
  <cols>
    <col min="1" max="1" width="24" customWidth="1"/>
    <col min="2" max="2" width="30" customWidth="1"/>
    <col min="3" max="3" width="12" customWidth="1"/>
    <col min="4" max="4" width="45" customWidth="1"/>
    <col min="5" max="5" width="14" customWidth="1"/>
    <col min="6" max="6" width="13" customWidth="1"/>
    <col min="7" max="7" width="15" customWidth="1"/>
    <col min="8" max="8" width="12" customWidth="1"/>
    <col min="9" max="9" width="19" customWidth="1"/>
    <col min="10" max="10" width="27" customWidth="1"/>
  </cols>
  <sheetData>
    <row r="1" spans="1:10" ht="26.1" customHeight="1">
      <c r="A1" s="16" t="s">
        <v>1701</v>
      </c>
      <c r="B1" s="17"/>
      <c r="C1" s="17"/>
      <c r="D1" s="17"/>
      <c r="E1" s="17"/>
      <c r="F1" s="17"/>
      <c r="G1" s="17"/>
      <c r="H1" s="17"/>
      <c r="I1" s="17"/>
      <c r="J1" s="17"/>
    </row>
    <row r="3" spans="1:10">
      <c r="A3" s="2" t="s">
        <v>336</v>
      </c>
      <c r="B3" s="2" t="s">
        <v>62</v>
      </c>
      <c r="C3" s="2" t="s">
        <v>316</v>
      </c>
      <c r="D3" s="2" t="s">
        <v>151</v>
      </c>
      <c r="E3" s="2" t="s">
        <v>230</v>
      </c>
      <c r="F3" s="2" t="s">
        <v>300</v>
      </c>
      <c r="G3" s="2" t="s">
        <v>338</v>
      </c>
      <c r="H3" s="2" t="s">
        <v>340</v>
      </c>
      <c r="I3" s="2" t="s">
        <v>342</v>
      </c>
      <c r="J3" s="2" t="s">
        <v>60</v>
      </c>
    </row>
    <row r="4" spans="1:10" ht="45" customHeight="1">
      <c r="A4" s="13" t="s">
        <v>1702</v>
      </c>
      <c r="B4" s="13" t="s">
        <v>318</v>
      </c>
      <c r="C4" s="13" t="s">
        <v>1596</v>
      </c>
      <c r="D4" s="13" t="s">
        <v>463</v>
      </c>
      <c r="E4" s="13" t="s">
        <v>1026</v>
      </c>
      <c r="F4" s="13" t="s">
        <v>1570</v>
      </c>
      <c r="G4" s="13" t="s">
        <v>1703</v>
      </c>
      <c r="H4" s="13" t="s">
        <v>1574</v>
      </c>
      <c r="I4" s="13" t="s">
        <v>1704</v>
      </c>
      <c r="J4" s="13" t="s">
        <v>1705</v>
      </c>
    </row>
    <row r="5" spans="1:10" ht="45" customHeight="1">
      <c r="A5" s="14" t="s">
        <v>1706</v>
      </c>
      <c r="B5" s="14" t="s">
        <v>318</v>
      </c>
      <c r="C5" s="14" t="s">
        <v>1605</v>
      </c>
      <c r="D5" s="14" t="s">
        <v>463</v>
      </c>
      <c r="E5" s="14" t="s">
        <v>1026</v>
      </c>
      <c r="F5" s="14" t="s">
        <v>1570</v>
      </c>
      <c r="G5" s="14" t="s">
        <v>1703</v>
      </c>
      <c r="H5" s="14" t="s">
        <v>1574</v>
      </c>
      <c r="I5" s="14" t="s">
        <v>1704</v>
      </c>
      <c r="J5" s="14" t="s">
        <v>1705</v>
      </c>
    </row>
    <row r="6" spans="1:10" ht="45" customHeight="1">
      <c r="A6" s="13" t="s">
        <v>1707</v>
      </c>
      <c r="B6" s="13" t="s">
        <v>318</v>
      </c>
      <c r="C6" s="13" t="s">
        <v>1607</v>
      </c>
      <c r="D6" s="13" t="s">
        <v>463</v>
      </c>
      <c r="E6" s="13" t="s">
        <v>1026</v>
      </c>
      <c r="F6" s="13" t="s">
        <v>1570</v>
      </c>
      <c r="G6" s="13" t="s">
        <v>1703</v>
      </c>
      <c r="H6" s="13" t="s">
        <v>1574</v>
      </c>
      <c r="I6" s="13" t="s">
        <v>1708</v>
      </c>
      <c r="J6" s="13" t="s">
        <v>1705</v>
      </c>
    </row>
    <row r="7" spans="1:10" ht="45" customHeight="1">
      <c r="A7" s="14" t="s">
        <v>1709</v>
      </c>
      <c r="B7" s="14" t="s">
        <v>318</v>
      </c>
      <c r="C7" s="14" t="s">
        <v>1609</v>
      </c>
      <c r="D7" s="14" t="s">
        <v>463</v>
      </c>
      <c r="E7" s="14" t="s">
        <v>1026</v>
      </c>
      <c r="F7" s="14" t="s">
        <v>1570</v>
      </c>
      <c r="G7" s="14" t="s">
        <v>1703</v>
      </c>
      <c r="H7" s="14" t="s">
        <v>1574</v>
      </c>
      <c r="I7" s="14" t="s">
        <v>1710</v>
      </c>
      <c r="J7" s="14" t="s">
        <v>1705</v>
      </c>
    </row>
    <row r="8" spans="1:10" ht="45" customHeight="1">
      <c r="A8" s="13" t="s">
        <v>1711</v>
      </c>
      <c r="B8" s="13" t="s">
        <v>318</v>
      </c>
      <c r="C8" s="13" t="s">
        <v>1611</v>
      </c>
      <c r="D8" s="13" t="s">
        <v>471</v>
      </c>
      <c r="E8" s="13" t="s">
        <v>1033</v>
      </c>
      <c r="F8" s="13" t="s">
        <v>1578</v>
      </c>
      <c r="G8" s="13" t="s">
        <v>1703</v>
      </c>
      <c r="H8" s="13" t="s">
        <v>1574</v>
      </c>
      <c r="I8" s="13" t="s">
        <v>1704</v>
      </c>
      <c r="J8" s="13" t="s">
        <v>1705</v>
      </c>
    </row>
    <row r="9" spans="1:10" ht="45" customHeight="1">
      <c r="A9" s="14" t="s">
        <v>1712</v>
      </c>
      <c r="B9" s="14" t="s">
        <v>318</v>
      </c>
      <c r="C9" s="14" t="s">
        <v>1616</v>
      </c>
      <c r="D9" s="14" t="s">
        <v>471</v>
      </c>
      <c r="E9" s="14" t="s">
        <v>1033</v>
      </c>
      <c r="F9" s="14" t="s">
        <v>1578</v>
      </c>
      <c r="G9" s="14" t="s">
        <v>1703</v>
      </c>
      <c r="H9" s="14" t="s">
        <v>1574</v>
      </c>
      <c r="I9" s="14" t="s">
        <v>1704</v>
      </c>
      <c r="J9" s="14" t="s">
        <v>1705</v>
      </c>
    </row>
    <row r="10" spans="1:10" ht="45" customHeight="1">
      <c r="A10" s="13" t="s">
        <v>1713</v>
      </c>
      <c r="B10" s="13" t="s">
        <v>318</v>
      </c>
      <c r="C10" s="13" t="s">
        <v>1618</v>
      </c>
      <c r="D10" s="13" t="s">
        <v>471</v>
      </c>
      <c r="E10" s="13" t="s">
        <v>1033</v>
      </c>
      <c r="F10" s="13" t="s">
        <v>1578</v>
      </c>
      <c r="G10" s="13" t="s">
        <v>1703</v>
      </c>
      <c r="H10" s="13" t="s">
        <v>1574</v>
      </c>
      <c r="I10" s="13" t="s">
        <v>1704</v>
      </c>
      <c r="J10" s="13" t="s">
        <v>1705</v>
      </c>
    </row>
    <row r="11" spans="1:10" ht="45" customHeight="1">
      <c r="A11" s="14" t="s">
        <v>1714</v>
      </c>
      <c r="B11" s="14" t="s">
        <v>318</v>
      </c>
      <c r="C11" s="14" t="s">
        <v>1620</v>
      </c>
      <c r="D11" s="14" t="s">
        <v>471</v>
      </c>
      <c r="E11" s="14" t="s">
        <v>1033</v>
      </c>
      <c r="F11" s="14" t="s">
        <v>1578</v>
      </c>
      <c r="G11" s="14" t="s">
        <v>1703</v>
      </c>
      <c r="H11" s="14" t="s">
        <v>1574</v>
      </c>
      <c r="I11" s="14" t="s">
        <v>1710</v>
      </c>
      <c r="J11" s="14" t="s">
        <v>1705</v>
      </c>
    </row>
    <row r="12" spans="1:10" ht="45" customHeight="1">
      <c r="A12" s="13" t="s">
        <v>1715</v>
      </c>
      <c r="B12" s="13" t="s">
        <v>318</v>
      </c>
      <c r="C12" s="13" t="s">
        <v>1622</v>
      </c>
      <c r="D12" s="13" t="s">
        <v>475</v>
      </c>
      <c r="E12" s="13" t="s">
        <v>1035</v>
      </c>
      <c r="F12" s="13" t="s">
        <v>1580</v>
      </c>
      <c r="G12" s="13" t="s">
        <v>1703</v>
      </c>
      <c r="H12" s="13" t="s">
        <v>1574</v>
      </c>
      <c r="I12" s="13" t="s">
        <v>1704</v>
      </c>
      <c r="J12" s="13" t="s">
        <v>1705</v>
      </c>
    </row>
    <row r="13" spans="1:10" ht="45" customHeight="1">
      <c r="A13" s="14" t="s">
        <v>1716</v>
      </c>
      <c r="B13" s="14" t="s">
        <v>318</v>
      </c>
      <c r="C13" s="14" t="s">
        <v>1627</v>
      </c>
      <c r="D13" s="14" t="s">
        <v>475</v>
      </c>
      <c r="E13" s="14" t="s">
        <v>1035</v>
      </c>
      <c r="F13" s="14" t="s">
        <v>1580</v>
      </c>
      <c r="G13" s="14" t="s">
        <v>1703</v>
      </c>
      <c r="H13" s="14" t="s">
        <v>1574</v>
      </c>
      <c r="I13" s="14" t="s">
        <v>1710</v>
      </c>
      <c r="J13" s="14" t="s">
        <v>1705</v>
      </c>
    </row>
    <row r="14" spans="1:10" ht="45" customHeight="1">
      <c r="A14" s="13" t="s">
        <v>1717</v>
      </c>
      <c r="B14" s="13" t="s">
        <v>318</v>
      </c>
      <c r="C14" s="13" t="s">
        <v>1629</v>
      </c>
      <c r="D14" s="13" t="s">
        <v>475</v>
      </c>
      <c r="E14" s="13" t="s">
        <v>1035</v>
      </c>
      <c r="F14" s="13" t="s">
        <v>1580</v>
      </c>
      <c r="G14" s="13" t="s">
        <v>1703</v>
      </c>
      <c r="H14" s="13" t="s">
        <v>1574</v>
      </c>
      <c r="I14" s="13" t="s">
        <v>1710</v>
      </c>
      <c r="J14" s="13" t="s">
        <v>1705</v>
      </c>
    </row>
    <row r="15" spans="1:10" ht="45" customHeight="1">
      <c r="A15" s="14" t="s">
        <v>1718</v>
      </c>
      <c r="B15" s="14" t="s">
        <v>318</v>
      </c>
      <c r="C15" s="14" t="s">
        <v>1631</v>
      </c>
      <c r="D15" s="14" t="s">
        <v>475</v>
      </c>
      <c r="E15" s="14" t="s">
        <v>1035</v>
      </c>
      <c r="F15" s="14" t="s">
        <v>1580</v>
      </c>
      <c r="G15" s="14" t="s">
        <v>1703</v>
      </c>
      <c r="H15" s="14" t="s">
        <v>1574</v>
      </c>
      <c r="I15" s="14" t="s">
        <v>1704</v>
      </c>
      <c r="J15" s="14" t="s">
        <v>1705</v>
      </c>
    </row>
    <row r="16" spans="1:10" ht="45" customHeight="1">
      <c r="A16" s="13" t="s">
        <v>1719</v>
      </c>
      <c r="B16" s="13" t="s">
        <v>318</v>
      </c>
      <c r="C16" s="13" t="s">
        <v>1633</v>
      </c>
      <c r="D16" s="13" t="s">
        <v>481</v>
      </c>
      <c r="E16" s="13" t="s">
        <v>1037</v>
      </c>
      <c r="F16" s="13" t="s">
        <v>1582</v>
      </c>
      <c r="G16" s="13" t="s">
        <v>1703</v>
      </c>
      <c r="H16" s="13" t="s">
        <v>1574</v>
      </c>
      <c r="I16" s="13" t="s">
        <v>1704</v>
      </c>
      <c r="J16" s="13" t="s">
        <v>1705</v>
      </c>
    </row>
    <row r="17" spans="1:10" ht="45" customHeight="1">
      <c r="A17" s="14" t="s">
        <v>1720</v>
      </c>
      <c r="B17" s="14" t="s">
        <v>318</v>
      </c>
      <c r="C17" s="14" t="s">
        <v>1639</v>
      </c>
      <c r="D17" s="14" t="s">
        <v>481</v>
      </c>
      <c r="E17" s="14" t="s">
        <v>1037</v>
      </c>
      <c r="F17" s="14" t="s">
        <v>1582</v>
      </c>
      <c r="G17" s="14" t="s">
        <v>1703</v>
      </c>
      <c r="H17" s="14" t="s">
        <v>1574</v>
      </c>
      <c r="I17" s="14" t="s">
        <v>1704</v>
      </c>
      <c r="J17" s="14" t="s">
        <v>1705</v>
      </c>
    </row>
    <row r="18" spans="1:10" ht="45" customHeight="1">
      <c r="A18" s="13" t="s">
        <v>1721</v>
      </c>
      <c r="B18" s="13" t="s">
        <v>318</v>
      </c>
      <c r="C18" s="13" t="s">
        <v>1641</v>
      </c>
      <c r="D18" s="13" t="s">
        <v>481</v>
      </c>
      <c r="E18" s="13" t="s">
        <v>1037</v>
      </c>
      <c r="F18" s="13" t="s">
        <v>1582</v>
      </c>
      <c r="G18" s="13" t="s">
        <v>1703</v>
      </c>
      <c r="H18" s="13" t="s">
        <v>1574</v>
      </c>
      <c r="I18" s="13" t="s">
        <v>1708</v>
      </c>
      <c r="J18" s="13" t="s">
        <v>1705</v>
      </c>
    </row>
    <row r="19" spans="1:10" ht="45" customHeight="1">
      <c r="A19" s="14" t="s">
        <v>1722</v>
      </c>
      <c r="B19" s="14" t="s">
        <v>318</v>
      </c>
      <c r="C19" s="14" t="s">
        <v>1643</v>
      </c>
      <c r="D19" s="14" t="s">
        <v>481</v>
      </c>
      <c r="E19" s="14" t="s">
        <v>1037</v>
      </c>
      <c r="F19" s="14" t="s">
        <v>1582</v>
      </c>
      <c r="G19" s="14" t="s">
        <v>1703</v>
      </c>
      <c r="H19" s="14" t="s">
        <v>1574</v>
      </c>
      <c r="I19" s="14" t="s">
        <v>1704</v>
      </c>
      <c r="J19" s="14" t="s">
        <v>1705</v>
      </c>
    </row>
    <row r="20" spans="1:10" ht="45" customHeight="1">
      <c r="A20" s="13" t="s">
        <v>1723</v>
      </c>
      <c r="B20" s="13" t="s">
        <v>318</v>
      </c>
      <c r="C20" s="13" t="s">
        <v>1645</v>
      </c>
      <c r="D20" s="13" t="s">
        <v>487</v>
      </c>
      <c r="E20" s="13" t="s">
        <v>1039</v>
      </c>
      <c r="F20" s="13" t="s">
        <v>1585</v>
      </c>
      <c r="G20" s="13" t="s">
        <v>1703</v>
      </c>
      <c r="H20" s="13" t="s">
        <v>1574</v>
      </c>
      <c r="I20" s="13" t="s">
        <v>1704</v>
      </c>
      <c r="J20" s="13" t="s">
        <v>1705</v>
      </c>
    </row>
    <row r="21" spans="1:10" ht="45" customHeight="1">
      <c r="A21" s="14" t="s">
        <v>1724</v>
      </c>
      <c r="B21" s="14" t="s">
        <v>318</v>
      </c>
      <c r="C21" s="14" t="s">
        <v>1650</v>
      </c>
      <c r="D21" s="14" t="s">
        <v>487</v>
      </c>
      <c r="E21" s="14" t="s">
        <v>1039</v>
      </c>
      <c r="F21" s="14" t="s">
        <v>1585</v>
      </c>
      <c r="G21" s="14" t="s">
        <v>1703</v>
      </c>
      <c r="H21" s="14" t="s">
        <v>1574</v>
      </c>
      <c r="I21" s="14" t="s">
        <v>1704</v>
      </c>
      <c r="J21" s="14" t="s">
        <v>1705</v>
      </c>
    </row>
    <row r="22" spans="1:10" ht="45" customHeight="1">
      <c r="A22" s="13" t="s">
        <v>1725</v>
      </c>
      <c r="B22" s="13" t="s">
        <v>318</v>
      </c>
      <c r="C22" s="13" t="s">
        <v>1652</v>
      </c>
      <c r="D22" s="13" t="s">
        <v>487</v>
      </c>
      <c r="E22" s="13" t="s">
        <v>1039</v>
      </c>
      <c r="F22" s="13" t="s">
        <v>1585</v>
      </c>
      <c r="G22" s="13" t="s">
        <v>1703</v>
      </c>
      <c r="H22" s="13" t="s">
        <v>1574</v>
      </c>
      <c r="I22" s="13" t="s">
        <v>1704</v>
      </c>
      <c r="J22" s="13" t="s">
        <v>1705</v>
      </c>
    </row>
    <row r="23" spans="1:10" ht="45" customHeight="1">
      <c r="A23" s="14" t="s">
        <v>1726</v>
      </c>
      <c r="B23" s="14" t="s">
        <v>318</v>
      </c>
      <c r="C23" s="14" t="s">
        <v>1654</v>
      </c>
      <c r="D23" s="14" t="s">
        <v>487</v>
      </c>
      <c r="E23" s="14" t="s">
        <v>1039</v>
      </c>
      <c r="F23" s="14" t="s">
        <v>1585</v>
      </c>
      <c r="G23" s="14" t="s">
        <v>1703</v>
      </c>
      <c r="H23" s="14" t="s">
        <v>1574</v>
      </c>
      <c r="I23" s="14" t="s">
        <v>1704</v>
      </c>
      <c r="J23" s="14" t="s">
        <v>1705</v>
      </c>
    </row>
    <row r="24" spans="1:10" ht="45" customHeight="1">
      <c r="A24" s="13" t="s">
        <v>1727</v>
      </c>
      <c r="B24" s="13" t="s">
        <v>318</v>
      </c>
      <c r="C24" s="13" t="s">
        <v>1656</v>
      </c>
      <c r="D24" s="13" t="s">
        <v>490</v>
      </c>
      <c r="E24" s="13" t="s">
        <v>1041</v>
      </c>
      <c r="F24" s="13" t="s">
        <v>1587</v>
      </c>
      <c r="G24" s="13" t="s">
        <v>1703</v>
      </c>
      <c r="H24" s="13" t="s">
        <v>1574</v>
      </c>
      <c r="I24" s="13" t="s">
        <v>1710</v>
      </c>
      <c r="J24" s="13" t="s">
        <v>1705</v>
      </c>
    </row>
    <row r="25" spans="1:10" ht="45" customHeight="1">
      <c r="A25" s="14" t="s">
        <v>1728</v>
      </c>
      <c r="B25" s="14" t="s">
        <v>318</v>
      </c>
      <c r="C25" s="14" t="s">
        <v>1661</v>
      </c>
      <c r="D25" s="14" t="s">
        <v>490</v>
      </c>
      <c r="E25" s="14" t="s">
        <v>1041</v>
      </c>
      <c r="F25" s="14" t="s">
        <v>1587</v>
      </c>
      <c r="G25" s="14" t="s">
        <v>1703</v>
      </c>
      <c r="H25" s="14" t="s">
        <v>1574</v>
      </c>
      <c r="I25" s="14" t="s">
        <v>1704</v>
      </c>
      <c r="J25" s="14" t="s">
        <v>1705</v>
      </c>
    </row>
    <row r="26" spans="1:10" ht="45" customHeight="1">
      <c r="A26" s="13" t="s">
        <v>1729</v>
      </c>
      <c r="B26" s="13" t="s">
        <v>318</v>
      </c>
      <c r="C26" s="13" t="s">
        <v>1663</v>
      </c>
      <c r="D26" s="13" t="s">
        <v>490</v>
      </c>
      <c r="E26" s="13" t="s">
        <v>1041</v>
      </c>
      <c r="F26" s="13" t="s">
        <v>1587</v>
      </c>
      <c r="G26" s="13" t="s">
        <v>1703</v>
      </c>
      <c r="H26" s="13" t="s">
        <v>1574</v>
      </c>
      <c r="I26" s="13" t="s">
        <v>1704</v>
      </c>
      <c r="J26" s="13" t="s">
        <v>1705</v>
      </c>
    </row>
    <row r="27" spans="1:10" ht="45" customHeight="1">
      <c r="A27" s="14" t="s">
        <v>1730</v>
      </c>
      <c r="B27" s="14" t="s">
        <v>318</v>
      </c>
      <c r="C27" s="14" t="s">
        <v>1665</v>
      </c>
      <c r="D27" s="14" t="s">
        <v>490</v>
      </c>
      <c r="E27" s="14" t="s">
        <v>1041</v>
      </c>
      <c r="F27" s="14" t="s">
        <v>1587</v>
      </c>
      <c r="G27" s="14" t="s">
        <v>1703</v>
      </c>
      <c r="H27" s="14" t="s">
        <v>1574</v>
      </c>
      <c r="I27" s="14" t="s">
        <v>1708</v>
      </c>
      <c r="J27" s="14" t="s">
        <v>1705</v>
      </c>
    </row>
    <row r="28" spans="1:10" ht="45" customHeight="1">
      <c r="A28" s="13" t="s">
        <v>1731</v>
      </c>
      <c r="B28" s="13" t="s">
        <v>318</v>
      </c>
      <c r="C28" s="13" t="s">
        <v>1667</v>
      </c>
      <c r="D28" s="13" t="s">
        <v>492</v>
      </c>
      <c r="E28" s="13" t="s">
        <v>1043</v>
      </c>
      <c r="F28" s="13" t="s">
        <v>1589</v>
      </c>
      <c r="G28" s="13" t="s">
        <v>1703</v>
      </c>
      <c r="H28" s="13" t="s">
        <v>1574</v>
      </c>
      <c r="I28" s="13" t="s">
        <v>1710</v>
      </c>
      <c r="J28" s="13" t="s">
        <v>1705</v>
      </c>
    </row>
    <row r="29" spans="1:10" ht="45" customHeight="1">
      <c r="A29" s="14" t="s">
        <v>1732</v>
      </c>
      <c r="B29" s="14" t="s">
        <v>318</v>
      </c>
      <c r="C29" s="14" t="s">
        <v>1673</v>
      </c>
      <c r="D29" s="14" t="s">
        <v>492</v>
      </c>
      <c r="E29" s="14" t="s">
        <v>1043</v>
      </c>
      <c r="F29" s="14" t="s">
        <v>1589</v>
      </c>
      <c r="G29" s="14" t="s">
        <v>1703</v>
      </c>
      <c r="H29" s="14" t="s">
        <v>1574</v>
      </c>
      <c r="I29" s="14" t="s">
        <v>1704</v>
      </c>
      <c r="J29" s="14" t="s">
        <v>1705</v>
      </c>
    </row>
    <row r="30" spans="1:10" ht="45" customHeight="1">
      <c r="A30" s="13" t="s">
        <v>1733</v>
      </c>
      <c r="B30" s="13" t="s">
        <v>318</v>
      </c>
      <c r="C30" s="13" t="s">
        <v>1675</v>
      </c>
      <c r="D30" s="13" t="s">
        <v>492</v>
      </c>
      <c r="E30" s="13" t="s">
        <v>1043</v>
      </c>
      <c r="F30" s="13" t="s">
        <v>1589</v>
      </c>
      <c r="G30" s="13" t="s">
        <v>1703</v>
      </c>
      <c r="H30" s="13" t="s">
        <v>1574</v>
      </c>
      <c r="I30" s="13" t="s">
        <v>1704</v>
      </c>
      <c r="J30" s="13" t="s">
        <v>1705</v>
      </c>
    </row>
    <row r="31" spans="1:10" ht="45" customHeight="1">
      <c r="A31" s="14" t="s">
        <v>1734</v>
      </c>
      <c r="B31" s="14" t="s">
        <v>318</v>
      </c>
      <c r="C31" s="14" t="s">
        <v>1677</v>
      </c>
      <c r="D31" s="14" t="s">
        <v>492</v>
      </c>
      <c r="E31" s="14" t="s">
        <v>1043</v>
      </c>
      <c r="F31" s="14" t="s">
        <v>1589</v>
      </c>
      <c r="G31" s="14" t="s">
        <v>1703</v>
      </c>
      <c r="H31" s="14" t="s">
        <v>1574</v>
      </c>
      <c r="I31" s="14" t="s">
        <v>1708</v>
      </c>
      <c r="J31" s="14" t="s">
        <v>1705</v>
      </c>
    </row>
    <row r="32" spans="1:10" ht="45" customHeight="1">
      <c r="A32" s="13" t="s">
        <v>1735</v>
      </c>
      <c r="B32" s="13" t="s">
        <v>318</v>
      </c>
      <c r="C32" s="13" t="s">
        <v>1679</v>
      </c>
      <c r="D32" s="13" t="s">
        <v>497</v>
      </c>
      <c r="E32" s="13" t="s">
        <v>1045</v>
      </c>
      <c r="F32" s="13" t="s">
        <v>1591</v>
      </c>
      <c r="G32" s="13" t="s">
        <v>1703</v>
      </c>
      <c r="H32" s="13" t="s">
        <v>1574</v>
      </c>
      <c r="I32" s="13" t="s">
        <v>1704</v>
      </c>
      <c r="J32" s="13" t="s">
        <v>1705</v>
      </c>
    </row>
    <row r="33" spans="1:10" ht="45" customHeight="1">
      <c r="A33" s="14" t="s">
        <v>1736</v>
      </c>
      <c r="B33" s="14" t="s">
        <v>318</v>
      </c>
      <c r="C33" s="14" t="s">
        <v>1684</v>
      </c>
      <c r="D33" s="14" t="s">
        <v>497</v>
      </c>
      <c r="E33" s="14" t="s">
        <v>1045</v>
      </c>
      <c r="F33" s="14" t="s">
        <v>1591</v>
      </c>
      <c r="G33" s="14" t="s">
        <v>1703</v>
      </c>
      <c r="H33" s="14" t="s">
        <v>1574</v>
      </c>
      <c r="I33" s="14" t="s">
        <v>1704</v>
      </c>
      <c r="J33" s="14" t="s">
        <v>1705</v>
      </c>
    </row>
    <row r="34" spans="1:10" ht="45" customHeight="1">
      <c r="A34" s="13" t="s">
        <v>1737</v>
      </c>
      <c r="B34" s="13" t="s">
        <v>318</v>
      </c>
      <c r="C34" s="13" t="s">
        <v>1686</v>
      </c>
      <c r="D34" s="13" t="s">
        <v>497</v>
      </c>
      <c r="E34" s="13" t="s">
        <v>1045</v>
      </c>
      <c r="F34" s="13" t="s">
        <v>1591</v>
      </c>
      <c r="G34" s="13" t="s">
        <v>1703</v>
      </c>
      <c r="H34" s="13" t="s">
        <v>1574</v>
      </c>
      <c r="I34" s="13" t="s">
        <v>1704</v>
      </c>
      <c r="J34" s="13" t="s">
        <v>1705</v>
      </c>
    </row>
    <row r="35" spans="1:10" ht="45" customHeight="1">
      <c r="A35" s="14" t="s">
        <v>1738</v>
      </c>
      <c r="B35" s="14" t="s">
        <v>318</v>
      </c>
      <c r="C35" s="14" t="s">
        <v>1688</v>
      </c>
      <c r="D35" s="14" t="s">
        <v>497</v>
      </c>
      <c r="E35" s="14" t="s">
        <v>1045</v>
      </c>
      <c r="F35" s="14" t="s">
        <v>1591</v>
      </c>
      <c r="G35" s="14" t="s">
        <v>1703</v>
      </c>
      <c r="H35" s="14" t="s">
        <v>1574</v>
      </c>
      <c r="I35" s="14" t="s">
        <v>1704</v>
      </c>
      <c r="J35" s="14" t="s">
        <v>1705</v>
      </c>
    </row>
    <row r="36" spans="1:10" ht="45" customHeight="1">
      <c r="A36" s="13" t="s">
        <v>1739</v>
      </c>
      <c r="B36" s="13" t="s">
        <v>318</v>
      </c>
      <c r="C36" s="13" t="s">
        <v>1690</v>
      </c>
      <c r="D36" s="13" t="s">
        <v>500</v>
      </c>
      <c r="E36" s="13" t="s">
        <v>1047</v>
      </c>
      <c r="F36" s="13" t="s">
        <v>1593</v>
      </c>
      <c r="G36" s="13" t="s">
        <v>1703</v>
      </c>
      <c r="H36" s="13" t="s">
        <v>1574</v>
      </c>
      <c r="I36" s="13" t="s">
        <v>1704</v>
      </c>
      <c r="J36" s="13" t="s">
        <v>1705</v>
      </c>
    </row>
    <row r="37" spans="1:10" ht="45" customHeight="1">
      <c r="A37" s="14" t="s">
        <v>1740</v>
      </c>
      <c r="B37" s="14" t="s">
        <v>318</v>
      </c>
      <c r="C37" s="14" t="s">
        <v>1695</v>
      </c>
      <c r="D37" s="14" t="s">
        <v>500</v>
      </c>
      <c r="E37" s="14" t="s">
        <v>1047</v>
      </c>
      <c r="F37" s="14" t="s">
        <v>1593</v>
      </c>
      <c r="G37" s="14" t="s">
        <v>1703</v>
      </c>
      <c r="H37" s="14" t="s">
        <v>1574</v>
      </c>
      <c r="I37" s="14" t="s">
        <v>1704</v>
      </c>
      <c r="J37" s="14" t="s">
        <v>1705</v>
      </c>
    </row>
    <row r="38" spans="1:10" ht="45" customHeight="1">
      <c r="A38" s="13" t="s">
        <v>1741</v>
      </c>
      <c r="B38" s="13" t="s">
        <v>318</v>
      </c>
      <c r="C38" s="13" t="s">
        <v>1697</v>
      </c>
      <c r="D38" s="13" t="s">
        <v>500</v>
      </c>
      <c r="E38" s="13" t="s">
        <v>1047</v>
      </c>
      <c r="F38" s="13" t="s">
        <v>1593</v>
      </c>
      <c r="G38" s="13" t="s">
        <v>1703</v>
      </c>
      <c r="H38" s="13" t="s">
        <v>1574</v>
      </c>
      <c r="I38" s="13" t="s">
        <v>1704</v>
      </c>
      <c r="J38" s="13" t="s">
        <v>1705</v>
      </c>
    </row>
    <row r="39" spans="1:10" ht="45" customHeight="1">
      <c r="A39" s="14" t="s">
        <v>1742</v>
      </c>
      <c r="B39" s="14" t="s">
        <v>318</v>
      </c>
      <c r="C39" s="14" t="s">
        <v>1699</v>
      </c>
      <c r="D39" s="14" t="s">
        <v>500</v>
      </c>
      <c r="E39" s="14" t="s">
        <v>1047</v>
      </c>
      <c r="F39" s="14" t="s">
        <v>1593</v>
      </c>
      <c r="G39" s="14" t="s">
        <v>1703</v>
      </c>
      <c r="H39" s="14" t="s">
        <v>1574</v>
      </c>
      <c r="I39" s="14" t="s">
        <v>1704</v>
      </c>
      <c r="J39" s="14" t="s">
        <v>1705</v>
      </c>
    </row>
  </sheetData>
  <autoFilter ref="A3:J39" xr:uid="{00000000-0009-0000-0000-000010000000}"/>
  <mergeCells count="1">
    <mergeCell ref="A1:J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39"/>
  <sheetViews>
    <sheetView showGridLines="0" workbookViewId="0">
      <pane ySplit="3" topLeftCell="A4" activePane="bottomLeft" state="frozen"/>
      <selection pane="bottomLeft"/>
    </sheetView>
  </sheetViews>
  <sheetFormatPr defaultRowHeight="15"/>
  <cols>
    <col min="1" max="1" width="20" customWidth="1"/>
    <col min="2" max="2" width="30" customWidth="1"/>
    <col min="3" max="3" width="15" customWidth="1"/>
    <col min="4" max="4" width="12" customWidth="1"/>
    <col min="5" max="5" width="45" customWidth="1"/>
    <col min="6" max="6" width="14" customWidth="1"/>
    <col min="7" max="7" width="13" customWidth="1"/>
    <col min="8" max="8" width="12" customWidth="1"/>
    <col min="9" max="10" width="20" customWidth="1"/>
    <col min="11" max="11" width="19" customWidth="1"/>
    <col min="12" max="12" width="27" customWidth="1"/>
    <col min="13" max="13" width="15" customWidth="1"/>
    <col min="14" max="14" width="45" customWidth="1"/>
  </cols>
  <sheetData>
    <row r="1" spans="1:14" ht="26.1" customHeight="1">
      <c r="A1" s="16" t="s">
        <v>1743</v>
      </c>
      <c r="B1" s="17"/>
      <c r="C1" s="17"/>
      <c r="D1" s="17"/>
      <c r="E1" s="17"/>
      <c r="F1" s="17"/>
      <c r="G1" s="17"/>
      <c r="H1" s="17"/>
      <c r="I1" s="17"/>
      <c r="J1" s="17"/>
      <c r="K1" s="17"/>
      <c r="L1" s="17"/>
    </row>
    <row r="3" spans="1:14">
      <c r="A3" s="2" t="s">
        <v>344</v>
      </c>
      <c r="B3" s="2" t="s">
        <v>62</v>
      </c>
      <c r="C3" s="2" t="s">
        <v>336</v>
      </c>
      <c r="D3" s="2" t="s">
        <v>316</v>
      </c>
      <c r="E3" s="2" t="s">
        <v>151</v>
      </c>
      <c r="F3" s="2" t="s">
        <v>230</v>
      </c>
      <c r="G3" s="2" t="s">
        <v>300</v>
      </c>
      <c r="H3" s="2" t="s">
        <v>346</v>
      </c>
      <c r="I3" s="2" t="s">
        <v>348</v>
      </c>
      <c r="J3" s="2" t="s">
        <v>350</v>
      </c>
      <c r="K3" s="2" t="s">
        <v>352</v>
      </c>
      <c r="L3" s="2" t="s">
        <v>354</v>
      </c>
      <c r="M3" s="2" t="s">
        <v>356</v>
      </c>
      <c r="N3" s="2" t="s">
        <v>358</v>
      </c>
    </row>
    <row r="4" spans="1:14" ht="45" customHeight="1">
      <c r="A4" s="13" t="s">
        <v>1744</v>
      </c>
      <c r="B4" s="13" t="s">
        <v>318</v>
      </c>
      <c r="C4" s="13" t="s">
        <v>1702</v>
      </c>
      <c r="D4" s="13" t="s">
        <v>1596</v>
      </c>
      <c r="E4" s="13" t="s">
        <v>463</v>
      </c>
      <c r="F4" s="13" t="s">
        <v>1026</v>
      </c>
      <c r="G4" s="13" t="s">
        <v>1570</v>
      </c>
      <c r="H4" s="13">
        <v>72</v>
      </c>
      <c r="I4" s="13">
        <v>75</v>
      </c>
      <c r="J4" s="13" t="s">
        <v>1057</v>
      </c>
      <c r="K4" s="11" t="str">
        <f>IF(H4="","No Result",IF(AND(H4&gt;=I4,J4&lt;&gt;"Yes"),"Pass","Fail"))</f>
        <v>Fail</v>
      </c>
      <c r="L4" s="13">
        <v>2</v>
      </c>
      <c r="M4" s="13" t="s">
        <v>1745</v>
      </c>
      <c r="N4" s="13" t="s">
        <v>1746</v>
      </c>
    </row>
    <row r="5" spans="1:14" ht="45" customHeight="1">
      <c r="A5" s="14" t="s">
        <v>1747</v>
      </c>
      <c r="B5" s="14" t="s">
        <v>318</v>
      </c>
      <c r="C5" s="14" t="s">
        <v>1706</v>
      </c>
      <c r="D5" s="14" t="s">
        <v>1605</v>
      </c>
      <c r="E5" s="14" t="s">
        <v>463</v>
      </c>
      <c r="F5" s="14" t="s">
        <v>1026</v>
      </c>
      <c r="G5" s="14" t="s">
        <v>1570</v>
      </c>
      <c r="H5" s="14">
        <v>61</v>
      </c>
      <c r="I5" s="14">
        <v>75</v>
      </c>
      <c r="J5" s="14" t="s">
        <v>1168</v>
      </c>
      <c r="K5" s="12" t="str">
        <f>IF(H5="","No Result",IF(AND(H5&gt;=I5,J5&lt;&gt;"Yes"),"Pass","Fail"))</f>
        <v>Fail</v>
      </c>
      <c r="L5" s="14">
        <v>2</v>
      </c>
      <c r="M5" s="14" t="s">
        <v>1745</v>
      </c>
      <c r="N5" s="14" t="s">
        <v>1746</v>
      </c>
    </row>
    <row r="6" spans="1:14" ht="45" customHeight="1">
      <c r="A6" s="13" t="s">
        <v>1748</v>
      </c>
      <c r="B6" s="13" t="s">
        <v>318</v>
      </c>
      <c r="C6" s="13" t="s">
        <v>1707</v>
      </c>
      <c r="D6" s="13" t="s">
        <v>1607</v>
      </c>
      <c r="E6" s="13" t="s">
        <v>463</v>
      </c>
      <c r="F6" s="13" t="s">
        <v>1026</v>
      </c>
      <c r="G6" s="13" t="s">
        <v>1570</v>
      </c>
      <c r="H6" s="13"/>
      <c r="I6" s="13">
        <v>75</v>
      </c>
      <c r="J6" s="13"/>
      <c r="K6" s="11" t="str">
        <f>IF(H6="","No Result",IF(AND(H6&gt;=I6,J6&lt;&gt;"Yes"),"Pass","Fail"))</f>
        <v>No Result</v>
      </c>
      <c r="L6" s="13"/>
      <c r="M6" s="13" t="s">
        <v>1749</v>
      </c>
      <c r="N6" s="13" t="s">
        <v>1746</v>
      </c>
    </row>
    <row r="7" spans="1:14" ht="45" customHeight="1">
      <c r="A7" s="14" t="s">
        <v>1750</v>
      </c>
      <c r="B7" s="14" t="s">
        <v>318</v>
      </c>
      <c r="C7" s="14" t="s">
        <v>1709</v>
      </c>
      <c r="D7" s="14" t="s">
        <v>1609</v>
      </c>
      <c r="E7" s="14" t="s">
        <v>463</v>
      </c>
      <c r="F7" s="14" t="s">
        <v>1026</v>
      </c>
      <c r="G7" s="14" t="s">
        <v>1570</v>
      </c>
      <c r="H7" s="14"/>
      <c r="I7" s="14">
        <v>75</v>
      </c>
      <c r="J7" s="14"/>
      <c r="K7" s="12" t="str">
        <f>IF(H7="","No Result",IF(AND(H7&gt;=I7,J7&lt;&gt;"Yes"),"Pass","Fail"))</f>
        <v>No Result</v>
      </c>
      <c r="L7" s="14"/>
      <c r="M7" s="14" t="s">
        <v>1749</v>
      </c>
      <c r="N7" s="14" t="s">
        <v>1746</v>
      </c>
    </row>
    <row r="8" spans="1:14" ht="45" customHeight="1">
      <c r="A8" s="13" t="s">
        <v>1751</v>
      </c>
      <c r="B8" s="13" t="s">
        <v>318</v>
      </c>
      <c r="C8" s="13" t="s">
        <v>1711</v>
      </c>
      <c r="D8" s="13" t="s">
        <v>1611</v>
      </c>
      <c r="E8" s="13" t="s">
        <v>471</v>
      </c>
      <c r="F8" s="13" t="s">
        <v>1033</v>
      </c>
      <c r="G8" s="13" t="s">
        <v>1578</v>
      </c>
      <c r="H8" s="13">
        <v>73</v>
      </c>
      <c r="I8" s="13">
        <v>75</v>
      </c>
      <c r="J8" s="13" t="s">
        <v>1057</v>
      </c>
      <c r="K8" s="11" t="str">
        <f>IF(H8="","No Result",IF(AND(H8&gt;=I8,J8&lt;&gt;"Yes"),"Pass","Fail"))</f>
        <v>Fail</v>
      </c>
      <c r="L8" s="13">
        <v>2</v>
      </c>
      <c r="M8" s="13" t="s">
        <v>1745</v>
      </c>
      <c r="N8" s="13" t="s">
        <v>1746</v>
      </c>
    </row>
    <row r="9" spans="1:14" ht="45" customHeight="1">
      <c r="A9" s="14" t="s">
        <v>1752</v>
      </c>
      <c r="B9" s="14" t="s">
        <v>318</v>
      </c>
      <c r="C9" s="14" t="s">
        <v>1712</v>
      </c>
      <c r="D9" s="14" t="s">
        <v>1616</v>
      </c>
      <c r="E9" s="14" t="s">
        <v>471</v>
      </c>
      <c r="F9" s="14" t="s">
        <v>1033</v>
      </c>
      <c r="G9" s="14" t="s">
        <v>1578</v>
      </c>
      <c r="H9" s="14">
        <v>89</v>
      </c>
      <c r="I9" s="14">
        <v>75</v>
      </c>
      <c r="J9" s="14" t="s">
        <v>1057</v>
      </c>
      <c r="K9" s="12" t="str">
        <f>IF(H9="","No Result",IF(AND(H9&gt;=I9,J9&lt;&gt;"Yes"),"Pass","Fail"))</f>
        <v>Pass</v>
      </c>
      <c r="L9" s="14">
        <v>4</v>
      </c>
      <c r="M9" s="14" t="s">
        <v>1745</v>
      </c>
      <c r="N9" s="14" t="s">
        <v>1746</v>
      </c>
    </row>
    <row r="10" spans="1:14" ht="45" customHeight="1">
      <c r="A10" s="13" t="s">
        <v>1753</v>
      </c>
      <c r="B10" s="13" t="s">
        <v>318</v>
      </c>
      <c r="C10" s="13" t="s">
        <v>1713</v>
      </c>
      <c r="D10" s="13" t="s">
        <v>1618</v>
      </c>
      <c r="E10" s="13" t="s">
        <v>471</v>
      </c>
      <c r="F10" s="13" t="s">
        <v>1033</v>
      </c>
      <c r="G10" s="13" t="s">
        <v>1578</v>
      </c>
      <c r="H10" s="13">
        <v>66</v>
      </c>
      <c r="I10" s="13">
        <v>75</v>
      </c>
      <c r="J10" s="13" t="s">
        <v>1057</v>
      </c>
      <c r="K10" s="11" t="str">
        <f>IF(H10="","No Result",IF(AND(H10&gt;=I10,J10&lt;&gt;"Yes"),"Pass","Fail"))</f>
        <v>Fail</v>
      </c>
      <c r="L10" s="13">
        <v>2</v>
      </c>
      <c r="M10" s="13" t="s">
        <v>1745</v>
      </c>
      <c r="N10" s="13" t="s">
        <v>1746</v>
      </c>
    </row>
    <row r="11" spans="1:14" ht="45" customHeight="1">
      <c r="A11" s="14" t="s">
        <v>1754</v>
      </c>
      <c r="B11" s="14" t="s">
        <v>318</v>
      </c>
      <c r="C11" s="14" t="s">
        <v>1714</v>
      </c>
      <c r="D11" s="14" t="s">
        <v>1620</v>
      </c>
      <c r="E11" s="14" t="s">
        <v>471</v>
      </c>
      <c r="F11" s="14" t="s">
        <v>1033</v>
      </c>
      <c r="G11" s="14" t="s">
        <v>1578</v>
      </c>
      <c r="H11" s="14"/>
      <c r="I11" s="14">
        <v>75</v>
      </c>
      <c r="J11" s="14"/>
      <c r="K11" s="12" t="str">
        <f>IF(H11="","No Result",IF(AND(H11&gt;=I11,J11&lt;&gt;"Yes"),"Pass","Fail"))</f>
        <v>No Result</v>
      </c>
      <c r="L11" s="14"/>
      <c r="M11" s="14" t="s">
        <v>1749</v>
      </c>
      <c r="N11" s="14" t="s">
        <v>1746</v>
      </c>
    </row>
    <row r="12" spans="1:14" ht="45" customHeight="1">
      <c r="A12" s="13" t="s">
        <v>1755</v>
      </c>
      <c r="B12" s="13" t="s">
        <v>318</v>
      </c>
      <c r="C12" s="13" t="s">
        <v>1715</v>
      </c>
      <c r="D12" s="13" t="s">
        <v>1622</v>
      </c>
      <c r="E12" s="13" t="s">
        <v>475</v>
      </c>
      <c r="F12" s="13" t="s">
        <v>1035</v>
      </c>
      <c r="G12" s="13" t="s">
        <v>1580</v>
      </c>
      <c r="H12" s="13">
        <v>73</v>
      </c>
      <c r="I12" s="13">
        <v>75</v>
      </c>
      <c r="J12" s="13" t="s">
        <v>1057</v>
      </c>
      <c r="K12" s="11" t="str">
        <f>IF(H12="","No Result",IF(AND(H12&gt;=I12,J12&lt;&gt;"Yes"),"Pass","Fail"))</f>
        <v>Fail</v>
      </c>
      <c r="L12" s="13">
        <v>2</v>
      </c>
      <c r="M12" s="13" t="s">
        <v>1745</v>
      </c>
      <c r="N12" s="13" t="s">
        <v>1746</v>
      </c>
    </row>
    <row r="13" spans="1:14" ht="45" customHeight="1">
      <c r="A13" s="14" t="s">
        <v>1756</v>
      </c>
      <c r="B13" s="14" t="s">
        <v>318</v>
      </c>
      <c r="C13" s="14" t="s">
        <v>1716</v>
      </c>
      <c r="D13" s="14" t="s">
        <v>1627</v>
      </c>
      <c r="E13" s="14" t="s">
        <v>475</v>
      </c>
      <c r="F13" s="14" t="s">
        <v>1035</v>
      </c>
      <c r="G13" s="14" t="s">
        <v>1580</v>
      </c>
      <c r="H13" s="14"/>
      <c r="I13" s="14">
        <v>75</v>
      </c>
      <c r="J13" s="14"/>
      <c r="K13" s="12" t="str">
        <f>IF(H13="","No Result",IF(AND(H13&gt;=I13,J13&lt;&gt;"Yes"),"Pass","Fail"))</f>
        <v>No Result</v>
      </c>
      <c r="L13" s="14"/>
      <c r="M13" s="14" t="s">
        <v>1749</v>
      </c>
      <c r="N13" s="14" t="s">
        <v>1746</v>
      </c>
    </row>
    <row r="14" spans="1:14" ht="45" customHeight="1">
      <c r="A14" s="13" t="s">
        <v>1757</v>
      </c>
      <c r="B14" s="13" t="s">
        <v>318</v>
      </c>
      <c r="C14" s="13" t="s">
        <v>1717</v>
      </c>
      <c r="D14" s="13" t="s">
        <v>1629</v>
      </c>
      <c r="E14" s="13" t="s">
        <v>475</v>
      </c>
      <c r="F14" s="13" t="s">
        <v>1035</v>
      </c>
      <c r="G14" s="13" t="s">
        <v>1580</v>
      </c>
      <c r="H14" s="13"/>
      <c r="I14" s="13">
        <v>75</v>
      </c>
      <c r="J14" s="13"/>
      <c r="K14" s="11" t="str">
        <f>IF(H14="","No Result",IF(AND(H14&gt;=I14,J14&lt;&gt;"Yes"),"Pass","Fail"))</f>
        <v>No Result</v>
      </c>
      <c r="L14" s="13"/>
      <c r="M14" s="13" t="s">
        <v>1749</v>
      </c>
      <c r="N14" s="13" t="s">
        <v>1746</v>
      </c>
    </row>
    <row r="15" spans="1:14" ht="45" customHeight="1">
      <c r="A15" s="14" t="s">
        <v>1758</v>
      </c>
      <c r="B15" s="14" t="s">
        <v>318</v>
      </c>
      <c r="C15" s="14" t="s">
        <v>1718</v>
      </c>
      <c r="D15" s="14" t="s">
        <v>1631</v>
      </c>
      <c r="E15" s="14" t="s">
        <v>475</v>
      </c>
      <c r="F15" s="14" t="s">
        <v>1035</v>
      </c>
      <c r="G15" s="14" t="s">
        <v>1580</v>
      </c>
      <c r="H15" s="14">
        <v>64</v>
      </c>
      <c r="I15" s="14">
        <v>75</v>
      </c>
      <c r="J15" s="14" t="s">
        <v>1057</v>
      </c>
      <c r="K15" s="12" t="str">
        <f>IF(H15="","No Result",IF(AND(H15&gt;=I15,J15&lt;&gt;"Yes"),"Pass","Fail"))</f>
        <v>Fail</v>
      </c>
      <c r="L15" s="14">
        <v>2</v>
      </c>
      <c r="M15" s="14" t="s">
        <v>1745</v>
      </c>
      <c r="N15" s="14" t="s">
        <v>1746</v>
      </c>
    </row>
    <row r="16" spans="1:14" ht="45" customHeight="1">
      <c r="A16" s="13" t="s">
        <v>1759</v>
      </c>
      <c r="B16" s="13" t="s">
        <v>318</v>
      </c>
      <c r="C16" s="13" t="s">
        <v>1719</v>
      </c>
      <c r="D16" s="13" t="s">
        <v>1633</v>
      </c>
      <c r="E16" s="13" t="s">
        <v>481</v>
      </c>
      <c r="F16" s="13" t="s">
        <v>1037</v>
      </c>
      <c r="G16" s="13" t="s">
        <v>1582</v>
      </c>
      <c r="H16" s="13">
        <v>84</v>
      </c>
      <c r="I16" s="13">
        <v>75</v>
      </c>
      <c r="J16" s="13" t="s">
        <v>1057</v>
      </c>
      <c r="K16" s="11" t="str">
        <f>IF(H16="","No Result",IF(AND(H16&gt;=I16,J16&lt;&gt;"Yes"),"Pass","Fail"))</f>
        <v>Pass</v>
      </c>
      <c r="L16" s="13">
        <v>3</v>
      </c>
      <c r="M16" s="13" t="s">
        <v>1745</v>
      </c>
      <c r="N16" s="13" t="s">
        <v>1746</v>
      </c>
    </row>
    <row r="17" spans="1:14" ht="45" customHeight="1">
      <c r="A17" s="14" t="s">
        <v>1760</v>
      </c>
      <c r="B17" s="14" t="s">
        <v>318</v>
      </c>
      <c r="C17" s="14" t="s">
        <v>1720</v>
      </c>
      <c r="D17" s="14" t="s">
        <v>1639</v>
      </c>
      <c r="E17" s="14" t="s">
        <v>481</v>
      </c>
      <c r="F17" s="14" t="s">
        <v>1037</v>
      </c>
      <c r="G17" s="14" t="s">
        <v>1582</v>
      </c>
      <c r="H17" s="14">
        <v>61</v>
      </c>
      <c r="I17" s="14">
        <v>75</v>
      </c>
      <c r="J17" s="14" t="s">
        <v>1057</v>
      </c>
      <c r="K17" s="12" t="str">
        <f>IF(H17="","No Result",IF(AND(H17&gt;=I17,J17&lt;&gt;"Yes"),"Pass","Fail"))</f>
        <v>Fail</v>
      </c>
      <c r="L17" s="14">
        <v>2</v>
      </c>
      <c r="M17" s="14" t="s">
        <v>1745</v>
      </c>
      <c r="N17" s="14" t="s">
        <v>1746</v>
      </c>
    </row>
    <row r="18" spans="1:14" ht="45" customHeight="1">
      <c r="A18" s="13" t="s">
        <v>1761</v>
      </c>
      <c r="B18" s="13" t="s">
        <v>318</v>
      </c>
      <c r="C18" s="13" t="s">
        <v>1721</v>
      </c>
      <c r="D18" s="13" t="s">
        <v>1641</v>
      </c>
      <c r="E18" s="13" t="s">
        <v>481</v>
      </c>
      <c r="F18" s="13" t="s">
        <v>1037</v>
      </c>
      <c r="G18" s="13" t="s">
        <v>1582</v>
      </c>
      <c r="H18" s="13"/>
      <c r="I18" s="13">
        <v>75</v>
      </c>
      <c r="J18" s="13"/>
      <c r="K18" s="11" t="str">
        <f>IF(H18="","No Result",IF(AND(H18&gt;=I18,J18&lt;&gt;"Yes"),"Pass","Fail"))</f>
        <v>No Result</v>
      </c>
      <c r="L18" s="13"/>
      <c r="M18" s="13" t="s">
        <v>1749</v>
      </c>
      <c r="N18" s="13" t="s">
        <v>1746</v>
      </c>
    </row>
    <row r="19" spans="1:14" ht="45" customHeight="1">
      <c r="A19" s="14" t="s">
        <v>1762</v>
      </c>
      <c r="B19" s="14" t="s">
        <v>318</v>
      </c>
      <c r="C19" s="14" t="s">
        <v>1722</v>
      </c>
      <c r="D19" s="14" t="s">
        <v>1643</v>
      </c>
      <c r="E19" s="14" t="s">
        <v>481</v>
      </c>
      <c r="F19" s="14" t="s">
        <v>1037</v>
      </c>
      <c r="G19" s="14" t="s">
        <v>1582</v>
      </c>
      <c r="H19" s="14">
        <v>83</v>
      </c>
      <c r="I19" s="14">
        <v>75</v>
      </c>
      <c r="J19" s="14" t="s">
        <v>1057</v>
      </c>
      <c r="K19" s="12" t="str">
        <f>IF(H19="","No Result",IF(AND(H19&gt;=I19,J19&lt;&gt;"Yes"),"Pass","Fail"))</f>
        <v>Pass</v>
      </c>
      <c r="L19" s="14">
        <v>3</v>
      </c>
      <c r="M19" s="14" t="s">
        <v>1745</v>
      </c>
      <c r="N19" s="14" t="s">
        <v>1746</v>
      </c>
    </row>
    <row r="20" spans="1:14" ht="45" customHeight="1">
      <c r="A20" s="13" t="s">
        <v>1763</v>
      </c>
      <c r="B20" s="13" t="s">
        <v>318</v>
      </c>
      <c r="C20" s="13" t="s">
        <v>1723</v>
      </c>
      <c r="D20" s="13" t="s">
        <v>1645</v>
      </c>
      <c r="E20" s="13" t="s">
        <v>487</v>
      </c>
      <c r="F20" s="13" t="s">
        <v>1039</v>
      </c>
      <c r="G20" s="13" t="s">
        <v>1585</v>
      </c>
      <c r="H20" s="13">
        <v>64</v>
      </c>
      <c r="I20" s="13">
        <v>75</v>
      </c>
      <c r="J20" s="13" t="s">
        <v>1168</v>
      </c>
      <c r="K20" s="11" t="str">
        <f>IF(H20="","No Result",IF(AND(H20&gt;=I20,J20&lt;&gt;"Yes"),"Pass","Fail"))</f>
        <v>Fail</v>
      </c>
      <c r="L20" s="13">
        <v>2</v>
      </c>
      <c r="M20" s="13" t="s">
        <v>1745</v>
      </c>
      <c r="N20" s="13" t="s">
        <v>1746</v>
      </c>
    </row>
    <row r="21" spans="1:14" ht="45" customHeight="1">
      <c r="A21" s="14" t="s">
        <v>1764</v>
      </c>
      <c r="B21" s="14" t="s">
        <v>318</v>
      </c>
      <c r="C21" s="14" t="s">
        <v>1724</v>
      </c>
      <c r="D21" s="14" t="s">
        <v>1650</v>
      </c>
      <c r="E21" s="14" t="s">
        <v>487</v>
      </c>
      <c r="F21" s="14" t="s">
        <v>1039</v>
      </c>
      <c r="G21" s="14" t="s">
        <v>1585</v>
      </c>
      <c r="H21" s="14">
        <v>86</v>
      </c>
      <c r="I21" s="14">
        <v>75</v>
      </c>
      <c r="J21" s="14" t="s">
        <v>1057</v>
      </c>
      <c r="K21" s="12" t="str">
        <f>IF(H21="","No Result",IF(AND(H21&gt;=I21,J21&lt;&gt;"Yes"),"Pass","Fail"))</f>
        <v>Pass</v>
      </c>
      <c r="L21" s="14">
        <v>4</v>
      </c>
      <c r="M21" s="14" t="s">
        <v>1745</v>
      </c>
      <c r="N21" s="14" t="s">
        <v>1746</v>
      </c>
    </row>
    <row r="22" spans="1:14" ht="45" customHeight="1">
      <c r="A22" s="13" t="s">
        <v>1765</v>
      </c>
      <c r="B22" s="13" t="s">
        <v>318</v>
      </c>
      <c r="C22" s="13" t="s">
        <v>1725</v>
      </c>
      <c r="D22" s="13" t="s">
        <v>1652</v>
      </c>
      <c r="E22" s="13" t="s">
        <v>487</v>
      </c>
      <c r="F22" s="13" t="s">
        <v>1039</v>
      </c>
      <c r="G22" s="13" t="s">
        <v>1585</v>
      </c>
      <c r="H22" s="13">
        <v>69</v>
      </c>
      <c r="I22" s="13">
        <v>75</v>
      </c>
      <c r="J22" s="13" t="s">
        <v>1168</v>
      </c>
      <c r="K22" s="11" t="str">
        <f>IF(H22="","No Result",IF(AND(H22&gt;=I22,J22&lt;&gt;"Yes"),"Pass","Fail"))</f>
        <v>Fail</v>
      </c>
      <c r="L22" s="13">
        <v>2</v>
      </c>
      <c r="M22" s="13" t="s">
        <v>1745</v>
      </c>
      <c r="N22" s="13" t="s">
        <v>1746</v>
      </c>
    </row>
    <row r="23" spans="1:14" ht="45" customHeight="1">
      <c r="A23" s="14" t="s">
        <v>1766</v>
      </c>
      <c r="B23" s="14" t="s">
        <v>318</v>
      </c>
      <c r="C23" s="14" t="s">
        <v>1726</v>
      </c>
      <c r="D23" s="14" t="s">
        <v>1654</v>
      </c>
      <c r="E23" s="14" t="s">
        <v>487</v>
      </c>
      <c r="F23" s="14" t="s">
        <v>1039</v>
      </c>
      <c r="G23" s="14" t="s">
        <v>1585</v>
      </c>
      <c r="H23" s="14">
        <v>62</v>
      </c>
      <c r="I23" s="14">
        <v>75</v>
      </c>
      <c r="J23" s="14" t="s">
        <v>1168</v>
      </c>
      <c r="K23" s="12" t="str">
        <f>IF(H23="","No Result",IF(AND(H23&gt;=I23,J23&lt;&gt;"Yes"),"Pass","Fail"))</f>
        <v>Fail</v>
      </c>
      <c r="L23" s="14">
        <v>2</v>
      </c>
      <c r="M23" s="14" t="s">
        <v>1745</v>
      </c>
      <c r="N23" s="14" t="s">
        <v>1746</v>
      </c>
    </row>
    <row r="24" spans="1:14" ht="45" customHeight="1">
      <c r="A24" s="13" t="s">
        <v>1767</v>
      </c>
      <c r="B24" s="13" t="s">
        <v>318</v>
      </c>
      <c r="C24" s="13" t="s">
        <v>1727</v>
      </c>
      <c r="D24" s="13" t="s">
        <v>1656</v>
      </c>
      <c r="E24" s="13" t="s">
        <v>490</v>
      </c>
      <c r="F24" s="13" t="s">
        <v>1041</v>
      </c>
      <c r="G24" s="13" t="s">
        <v>1587</v>
      </c>
      <c r="H24" s="13"/>
      <c r="I24" s="13">
        <v>75</v>
      </c>
      <c r="J24" s="13"/>
      <c r="K24" s="11" t="str">
        <f>IF(H24="","No Result",IF(AND(H24&gt;=I24,J24&lt;&gt;"Yes"),"Pass","Fail"))</f>
        <v>No Result</v>
      </c>
      <c r="L24" s="13"/>
      <c r="M24" s="13" t="s">
        <v>1749</v>
      </c>
      <c r="N24" s="13" t="s">
        <v>1746</v>
      </c>
    </row>
    <row r="25" spans="1:14" ht="45" customHeight="1">
      <c r="A25" s="14" t="s">
        <v>1768</v>
      </c>
      <c r="B25" s="14" t="s">
        <v>318</v>
      </c>
      <c r="C25" s="14" t="s">
        <v>1728</v>
      </c>
      <c r="D25" s="14" t="s">
        <v>1661</v>
      </c>
      <c r="E25" s="14" t="s">
        <v>490</v>
      </c>
      <c r="F25" s="14" t="s">
        <v>1041</v>
      </c>
      <c r="G25" s="14" t="s">
        <v>1587</v>
      </c>
      <c r="H25" s="14">
        <v>61</v>
      </c>
      <c r="I25" s="14">
        <v>75</v>
      </c>
      <c r="J25" s="14" t="s">
        <v>1057</v>
      </c>
      <c r="K25" s="12" t="str">
        <f>IF(H25="","No Result",IF(AND(H25&gt;=I25,J25&lt;&gt;"Yes"),"Pass","Fail"))</f>
        <v>Fail</v>
      </c>
      <c r="L25" s="14">
        <v>2</v>
      </c>
      <c r="M25" s="14" t="s">
        <v>1745</v>
      </c>
      <c r="N25" s="14" t="s">
        <v>1746</v>
      </c>
    </row>
    <row r="26" spans="1:14" ht="45" customHeight="1">
      <c r="A26" s="13" t="s">
        <v>1769</v>
      </c>
      <c r="B26" s="13" t="s">
        <v>318</v>
      </c>
      <c r="C26" s="13" t="s">
        <v>1729</v>
      </c>
      <c r="D26" s="13" t="s">
        <v>1663</v>
      </c>
      <c r="E26" s="13" t="s">
        <v>490</v>
      </c>
      <c r="F26" s="13" t="s">
        <v>1041</v>
      </c>
      <c r="G26" s="13" t="s">
        <v>1587</v>
      </c>
      <c r="H26" s="13">
        <v>58</v>
      </c>
      <c r="I26" s="13">
        <v>75</v>
      </c>
      <c r="J26" s="13" t="s">
        <v>1057</v>
      </c>
      <c r="K26" s="11" t="str">
        <f>IF(H26="","No Result",IF(AND(H26&gt;=I26,J26&lt;&gt;"Yes"),"Pass","Fail"))</f>
        <v>Fail</v>
      </c>
      <c r="L26" s="13">
        <v>1</v>
      </c>
      <c r="M26" s="13" t="s">
        <v>1745</v>
      </c>
      <c r="N26" s="13" t="s">
        <v>1746</v>
      </c>
    </row>
    <row r="27" spans="1:14" ht="45" customHeight="1">
      <c r="A27" s="14" t="s">
        <v>1770</v>
      </c>
      <c r="B27" s="14" t="s">
        <v>318</v>
      </c>
      <c r="C27" s="14" t="s">
        <v>1730</v>
      </c>
      <c r="D27" s="14" t="s">
        <v>1665</v>
      </c>
      <c r="E27" s="14" t="s">
        <v>490</v>
      </c>
      <c r="F27" s="14" t="s">
        <v>1041</v>
      </c>
      <c r="G27" s="14" t="s">
        <v>1587</v>
      </c>
      <c r="H27" s="14"/>
      <c r="I27" s="14">
        <v>75</v>
      </c>
      <c r="J27" s="14"/>
      <c r="K27" s="12" t="str">
        <f>IF(H27="","No Result",IF(AND(H27&gt;=I27,J27&lt;&gt;"Yes"),"Pass","Fail"))</f>
        <v>No Result</v>
      </c>
      <c r="L27" s="14"/>
      <c r="M27" s="14" t="s">
        <v>1749</v>
      </c>
      <c r="N27" s="14" t="s">
        <v>1746</v>
      </c>
    </row>
    <row r="28" spans="1:14" ht="45" customHeight="1">
      <c r="A28" s="13" t="s">
        <v>1771</v>
      </c>
      <c r="B28" s="13" t="s">
        <v>318</v>
      </c>
      <c r="C28" s="13" t="s">
        <v>1731</v>
      </c>
      <c r="D28" s="13" t="s">
        <v>1667</v>
      </c>
      <c r="E28" s="13" t="s">
        <v>492</v>
      </c>
      <c r="F28" s="13" t="s">
        <v>1043</v>
      </c>
      <c r="G28" s="13" t="s">
        <v>1589</v>
      </c>
      <c r="H28" s="13"/>
      <c r="I28" s="13">
        <v>75</v>
      </c>
      <c r="J28" s="13"/>
      <c r="K28" s="11" t="str">
        <f>IF(H28="","No Result",IF(AND(H28&gt;=I28,J28&lt;&gt;"Yes"),"Pass","Fail"))</f>
        <v>No Result</v>
      </c>
      <c r="L28" s="13"/>
      <c r="M28" s="13" t="s">
        <v>1749</v>
      </c>
      <c r="N28" s="13" t="s">
        <v>1746</v>
      </c>
    </row>
    <row r="29" spans="1:14" ht="45" customHeight="1">
      <c r="A29" s="14" t="s">
        <v>1772</v>
      </c>
      <c r="B29" s="14" t="s">
        <v>318</v>
      </c>
      <c r="C29" s="14" t="s">
        <v>1732</v>
      </c>
      <c r="D29" s="14" t="s">
        <v>1673</v>
      </c>
      <c r="E29" s="14" t="s">
        <v>492</v>
      </c>
      <c r="F29" s="14" t="s">
        <v>1043</v>
      </c>
      <c r="G29" s="14" t="s">
        <v>1589</v>
      </c>
      <c r="H29" s="14">
        <v>89</v>
      </c>
      <c r="I29" s="14">
        <v>75</v>
      </c>
      <c r="J29" s="14" t="s">
        <v>1057</v>
      </c>
      <c r="K29" s="12" t="str">
        <f>IF(H29="","No Result",IF(AND(H29&gt;=I29,J29&lt;&gt;"Yes"),"Pass","Fail"))</f>
        <v>Pass</v>
      </c>
      <c r="L29" s="14">
        <v>4</v>
      </c>
      <c r="M29" s="14" t="s">
        <v>1745</v>
      </c>
      <c r="N29" s="14" t="s">
        <v>1746</v>
      </c>
    </row>
    <row r="30" spans="1:14" ht="45" customHeight="1">
      <c r="A30" s="13" t="s">
        <v>1773</v>
      </c>
      <c r="B30" s="13" t="s">
        <v>318</v>
      </c>
      <c r="C30" s="13" t="s">
        <v>1733</v>
      </c>
      <c r="D30" s="13" t="s">
        <v>1675</v>
      </c>
      <c r="E30" s="13" t="s">
        <v>492</v>
      </c>
      <c r="F30" s="13" t="s">
        <v>1043</v>
      </c>
      <c r="G30" s="13" t="s">
        <v>1589</v>
      </c>
      <c r="H30" s="13">
        <v>83</v>
      </c>
      <c r="I30" s="13">
        <v>75</v>
      </c>
      <c r="J30" s="13" t="s">
        <v>1057</v>
      </c>
      <c r="K30" s="11" t="str">
        <f>IF(H30="","No Result",IF(AND(H30&gt;=I30,J30&lt;&gt;"Yes"),"Pass","Fail"))</f>
        <v>Pass</v>
      </c>
      <c r="L30" s="13">
        <v>3</v>
      </c>
      <c r="M30" s="13" t="s">
        <v>1745</v>
      </c>
      <c r="N30" s="13" t="s">
        <v>1746</v>
      </c>
    </row>
    <row r="31" spans="1:14" ht="45" customHeight="1">
      <c r="A31" s="14" t="s">
        <v>1774</v>
      </c>
      <c r="B31" s="14" t="s">
        <v>318</v>
      </c>
      <c r="C31" s="14" t="s">
        <v>1734</v>
      </c>
      <c r="D31" s="14" t="s">
        <v>1677</v>
      </c>
      <c r="E31" s="14" t="s">
        <v>492</v>
      </c>
      <c r="F31" s="14" t="s">
        <v>1043</v>
      </c>
      <c r="G31" s="14" t="s">
        <v>1589</v>
      </c>
      <c r="H31" s="14"/>
      <c r="I31" s="14">
        <v>75</v>
      </c>
      <c r="J31" s="14"/>
      <c r="K31" s="12" t="str">
        <f>IF(H31="","No Result",IF(AND(H31&gt;=I31,J31&lt;&gt;"Yes"),"Pass","Fail"))</f>
        <v>No Result</v>
      </c>
      <c r="L31" s="14"/>
      <c r="M31" s="14" t="s">
        <v>1749</v>
      </c>
      <c r="N31" s="14" t="s">
        <v>1746</v>
      </c>
    </row>
    <row r="32" spans="1:14" ht="45" customHeight="1">
      <c r="A32" s="13" t="s">
        <v>1775</v>
      </c>
      <c r="B32" s="13" t="s">
        <v>318</v>
      </c>
      <c r="C32" s="13" t="s">
        <v>1735</v>
      </c>
      <c r="D32" s="13" t="s">
        <v>1679</v>
      </c>
      <c r="E32" s="13" t="s">
        <v>497</v>
      </c>
      <c r="F32" s="13" t="s">
        <v>1045</v>
      </c>
      <c r="G32" s="13" t="s">
        <v>1591</v>
      </c>
      <c r="H32" s="13">
        <v>58</v>
      </c>
      <c r="I32" s="13">
        <v>75</v>
      </c>
      <c r="J32" s="13" t="s">
        <v>1057</v>
      </c>
      <c r="K32" s="11" t="str">
        <f>IF(H32="","No Result",IF(AND(H32&gt;=I32,J32&lt;&gt;"Yes"),"Pass","Fail"))</f>
        <v>Fail</v>
      </c>
      <c r="L32" s="13">
        <v>1</v>
      </c>
      <c r="M32" s="13" t="s">
        <v>1745</v>
      </c>
      <c r="N32" s="13" t="s">
        <v>1746</v>
      </c>
    </row>
    <row r="33" spans="1:14" ht="45" customHeight="1">
      <c r="A33" s="14" t="s">
        <v>1776</v>
      </c>
      <c r="B33" s="14" t="s">
        <v>318</v>
      </c>
      <c r="C33" s="14" t="s">
        <v>1736</v>
      </c>
      <c r="D33" s="14" t="s">
        <v>1684</v>
      </c>
      <c r="E33" s="14" t="s">
        <v>497</v>
      </c>
      <c r="F33" s="14" t="s">
        <v>1045</v>
      </c>
      <c r="G33" s="14" t="s">
        <v>1591</v>
      </c>
      <c r="H33" s="14">
        <v>87</v>
      </c>
      <c r="I33" s="14">
        <v>75</v>
      </c>
      <c r="J33" s="14" t="s">
        <v>1057</v>
      </c>
      <c r="K33" s="12" t="str">
        <f>IF(H33="","No Result",IF(AND(H33&gt;=I33,J33&lt;&gt;"Yes"),"Pass","Fail"))</f>
        <v>Pass</v>
      </c>
      <c r="L33" s="14">
        <v>4</v>
      </c>
      <c r="M33" s="14" t="s">
        <v>1745</v>
      </c>
      <c r="N33" s="14" t="s">
        <v>1746</v>
      </c>
    </row>
    <row r="34" spans="1:14" ht="45" customHeight="1">
      <c r="A34" s="13" t="s">
        <v>1777</v>
      </c>
      <c r="B34" s="13" t="s">
        <v>318</v>
      </c>
      <c r="C34" s="13" t="s">
        <v>1737</v>
      </c>
      <c r="D34" s="13" t="s">
        <v>1686</v>
      </c>
      <c r="E34" s="13" t="s">
        <v>497</v>
      </c>
      <c r="F34" s="13" t="s">
        <v>1045</v>
      </c>
      <c r="G34" s="13" t="s">
        <v>1591</v>
      </c>
      <c r="H34" s="13">
        <v>93</v>
      </c>
      <c r="I34" s="13">
        <v>75</v>
      </c>
      <c r="J34" s="13" t="s">
        <v>1057</v>
      </c>
      <c r="K34" s="11" t="str">
        <f>IF(H34="","No Result",IF(AND(H34&gt;=I34,J34&lt;&gt;"Yes"),"Pass","Fail"))</f>
        <v>Pass</v>
      </c>
      <c r="L34" s="13">
        <v>4</v>
      </c>
      <c r="M34" s="13" t="s">
        <v>1745</v>
      </c>
      <c r="N34" s="13" t="s">
        <v>1746</v>
      </c>
    </row>
    <row r="35" spans="1:14" ht="45" customHeight="1">
      <c r="A35" s="14" t="s">
        <v>1778</v>
      </c>
      <c r="B35" s="14" t="s">
        <v>318</v>
      </c>
      <c r="C35" s="14" t="s">
        <v>1738</v>
      </c>
      <c r="D35" s="14" t="s">
        <v>1688</v>
      </c>
      <c r="E35" s="14" t="s">
        <v>497</v>
      </c>
      <c r="F35" s="14" t="s">
        <v>1045</v>
      </c>
      <c r="G35" s="14" t="s">
        <v>1591</v>
      </c>
      <c r="H35" s="14">
        <v>89</v>
      </c>
      <c r="I35" s="14">
        <v>75</v>
      </c>
      <c r="J35" s="14" t="s">
        <v>1057</v>
      </c>
      <c r="K35" s="12" t="str">
        <f>IF(H35="","No Result",IF(AND(H35&gt;=I35,J35&lt;&gt;"Yes"),"Pass","Fail"))</f>
        <v>Pass</v>
      </c>
      <c r="L35" s="14">
        <v>4</v>
      </c>
      <c r="M35" s="14" t="s">
        <v>1745</v>
      </c>
      <c r="N35" s="14" t="s">
        <v>1746</v>
      </c>
    </row>
    <row r="36" spans="1:14" ht="45" customHeight="1">
      <c r="A36" s="13" t="s">
        <v>1779</v>
      </c>
      <c r="B36" s="13" t="s">
        <v>318</v>
      </c>
      <c r="C36" s="13" t="s">
        <v>1739</v>
      </c>
      <c r="D36" s="13" t="s">
        <v>1690</v>
      </c>
      <c r="E36" s="13" t="s">
        <v>500</v>
      </c>
      <c r="F36" s="13" t="s">
        <v>1047</v>
      </c>
      <c r="G36" s="13" t="s">
        <v>1593</v>
      </c>
      <c r="H36" s="13">
        <v>76</v>
      </c>
      <c r="I36" s="13">
        <v>75</v>
      </c>
      <c r="J36" s="13" t="s">
        <v>1057</v>
      </c>
      <c r="K36" s="11" t="str">
        <f>IF(H36="","No Result",IF(AND(H36&gt;=I36,J36&lt;&gt;"Yes"),"Pass","Fail"))</f>
        <v>Pass</v>
      </c>
      <c r="L36" s="13">
        <v>3</v>
      </c>
      <c r="M36" s="13" t="s">
        <v>1745</v>
      </c>
      <c r="N36" s="13" t="s">
        <v>1746</v>
      </c>
    </row>
    <row r="37" spans="1:14" ht="45" customHeight="1">
      <c r="A37" s="14" t="s">
        <v>1780</v>
      </c>
      <c r="B37" s="14" t="s">
        <v>318</v>
      </c>
      <c r="C37" s="14" t="s">
        <v>1740</v>
      </c>
      <c r="D37" s="14" t="s">
        <v>1695</v>
      </c>
      <c r="E37" s="14" t="s">
        <v>500</v>
      </c>
      <c r="F37" s="14" t="s">
        <v>1047</v>
      </c>
      <c r="G37" s="14" t="s">
        <v>1593</v>
      </c>
      <c r="H37" s="14">
        <v>61</v>
      </c>
      <c r="I37" s="14">
        <v>75</v>
      </c>
      <c r="J37" s="14" t="s">
        <v>1057</v>
      </c>
      <c r="K37" s="12" t="str">
        <f>IF(H37="","No Result",IF(AND(H37&gt;=I37,J37&lt;&gt;"Yes"),"Pass","Fail"))</f>
        <v>Fail</v>
      </c>
      <c r="L37" s="14">
        <v>2</v>
      </c>
      <c r="M37" s="14" t="s">
        <v>1745</v>
      </c>
      <c r="N37" s="14" t="s">
        <v>1746</v>
      </c>
    </row>
    <row r="38" spans="1:14" ht="45" customHeight="1">
      <c r="A38" s="13" t="s">
        <v>1781</v>
      </c>
      <c r="B38" s="13" t="s">
        <v>318</v>
      </c>
      <c r="C38" s="13" t="s">
        <v>1741</v>
      </c>
      <c r="D38" s="13" t="s">
        <v>1697</v>
      </c>
      <c r="E38" s="13" t="s">
        <v>500</v>
      </c>
      <c r="F38" s="13" t="s">
        <v>1047</v>
      </c>
      <c r="G38" s="13" t="s">
        <v>1593</v>
      </c>
      <c r="H38" s="13">
        <v>78</v>
      </c>
      <c r="I38" s="13">
        <v>75</v>
      </c>
      <c r="J38" s="13" t="s">
        <v>1057</v>
      </c>
      <c r="K38" s="11" t="str">
        <f>IF(H38="","No Result",IF(AND(H38&gt;=I38,J38&lt;&gt;"Yes"),"Pass","Fail"))</f>
        <v>Pass</v>
      </c>
      <c r="L38" s="13">
        <v>3</v>
      </c>
      <c r="M38" s="13" t="s">
        <v>1745</v>
      </c>
      <c r="N38" s="13" t="s">
        <v>1746</v>
      </c>
    </row>
    <row r="39" spans="1:14" ht="45" customHeight="1">
      <c r="A39" s="14" t="s">
        <v>1782</v>
      </c>
      <c r="B39" s="14" t="s">
        <v>318</v>
      </c>
      <c r="C39" s="14" t="s">
        <v>1742</v>
      </c>
      <c r="D39" s="14" t="s">
        <v>1699</v>
      </c>
      <c r="E39" s="14" t="s">
        <v>500</v>
      </c>
      <c r="F39" s="14" t="s">
        <v>1047</v>
      </c>
      <c r="G39" s="14" t="s">
        <v>1593</v>
      </c>
      <c r="H39" s="14">
        <v>88</v>
      </c>
      <c r="I39" s="14">
        <v>75</v>
      </c>
      <c r="J39" s="14" t="s">
        <v>1057</v>
      </c>
      <c r="K39" s="12" t="str">
        <f>IF(H39="","No Result",IF(AND(H39&gt;=I39,J39&lt;&gt;"Yes"),"Pass","Fail"))</f>
        <v>Pass</v>
      </c>
      <c r="L39" s="14">
        <v>4</v>
      </c>
      <c r="M39" s="14" t="s">
        <v>1745</v>
      </c>
      <c r="N39" s="14" t="s">
        <v>1746</v>
      </c>
    </row>
  </sheetData>
  <autoFilter ref="A3:N39" xr:uid="{00000000-0009-0000-0000-000011000000}"/>
  <mergeCells count="1">
    <mergeCell ref="A1:L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363"/>
  <sheetViews>
    <sheetView showGridLines="0" workbookViewId="0">
      <pane ySplit="3" topLeftCell="A4" activePane="bottomLeft" state="frozen"/>
      <selection pane="bottomLeft"/>
    </sheetView>
  </sheetViews>
  <sheetFormatPr defaultRowHeight="15"/>
  <cols>
    <col min="1" max="1" width="26" customWidth="1"/>
    <col min="2" max="2" width="30" customWidth="1"/>
    <col min="3" max="3" width="12" customWidth="1"/>
    <col min="4" max="4" width="45" customWidth="1"/>
    <col min="5" max="5" width="23" customWidth="1"/>
    <col min="6" max="7" width="45" customWidth="1"/>
    <col min="8" max="8" width="12" customWidth="1"/>
    <col min="9" max="9" width="14" customWidth="1"/>
    <col min="10" max="10" width="24" customWidth="1"/>
    <col min="11" max="11" width="19" customWidth="1"/>
    <col min="12" max="12" width="25" customWidth="1"/>
    <col min="13" max="13" width="18" customWidth="1"/>
    <col min="14" max="14" width="15" customWidth="1"/>
  </cols>
  <sheetData>
    <row r="1" spans="1:14" ht="26.1" customHeight="1">
      <c r="A1" s="16" t="s">
        <v>1783</v>
      </c>
      <c r="B1" s="17"/>
      <c r="C1" s="17"/>
      <c r="D1" s="17"/>
      <c r="E1" s="17"/>
      <c r="F1" s="17"/>
      <c r="G1" s="17"/>
      <c r="H1" s="17"/>
      <c r="I1" s="17"/>
      <c r="J1" s="17"/>
      <c r="K1" s="17"/>
      <c r="L1" s="17"/>
    </row>
    <row r="3" spans="1:14">
      <c r="A3" s="2" t="s">
        <v>360</v>
      </c>
      <c r="B3" s="2" t="s">
        <v>62</v>
      </c>
      <c r="C3" s="2" t="s">
        <v>316</v>
      </c>
      <c r="D3" s="2" t="s">
        <v>151</v>
      </c>
      <c r="E3" s="2" t="s">
        <v>322</v>
      </c>
      <c r="F3" s="2" t="s">
        <v>184</v>
      </c>
      <c r="G3" s="2" t="s">
        <v>186</v>
      </c>
      <c r="H3" s="2" t="s">
        <v>188</v>
      </c>
      <c r="I3" s="2" t="s">
        <v>362</v>
      </c>
      <c r="J3" s="2" t="s">
        <v>364</v>
      </c>
      <c r="K3" s="2" t="s">
        <v>366</v>
      </c>
      <c r="L3" s="2" t="s">
        <v>368</v>
      </c>
      <c r="M3" s="2" t="s">
        <v>370</v>
      </c>
      <c r="N3" s="2" t="s">
        <v>272</v>
      </c>
    </row>
    <row r="4" spans="1:14" ht="45" customHeight="1">
      <c r="A4" s="13" t="s">
        <v>1784</v>
      </c>
      <c r="B4" s="13" t="s">
        <v>318</v>
      </c>
      <c r="C4" s="13" t="s">
        <v>1596</v>
      </c>
      <c r="D4" s="13" t="s">
        <v>463</v>
      </c>
      <c r="E4" s="13" t="s">
        <v>1598</v>
      </c>
      <c r="F4" s="13" t="s">
        <v>833</v>
      </c>
      <c r="G4" s="13" t="s">
        <v>834</v>
      </c>
      <c r="H4" s="13"/>
      <c r="I4" s="13">
        <v>3</v>
      </c>
      <c r="J4" s="13">
        <v>3</v>
      </c>
      <c r="K4" s="13" t="s">
        <v>1785</v>
      </c>
      <c r="L4" s="13" t="s">
        <v>1786</v>
      </c>
      <c r="M4" s="13" t="s">
        <v>1744</v>
      </c>
      <c r="N4" s="13">
        <v>0.69</v>
      </c>
    </row>
    <row r="5" spans="1:14" ht="45" customHeight="1">
      <c r="A5" s="14" t="s">
        <v>1787</v>
      </c>
      <c r="B5" s="14" t="s">
        <v>318</v>
      </c>
      <c r="C5" s="14" t="s">
        <v>1596</v>
      </c>
      <c r="D5" s="14" t="s">
        <v>463</v>
      </c>
      <c r="E5" s="14" t="s">
        <v>1598</v>
      </c>
      <c r="F5" s="14" t="s">
        <v>836</v>
      </c>
      <c r="G5" s="14" t="s">
        <v>837</v>
      </c>
      <c r="H5" s="14"/>
      <c r="I5" s="14">
        <v>4</v>
      </c>
      <c r="J5" s="14">
        <v>1</v>
      </c>
      <c r="K5" s="14" t="s">
        <v>1785</v>
      </c>
      <c r="L5" s="14" t="s">
        <v>1788</v>
      </c>
      <c r="M5" s="14" t="s">
        <v>1744</v>
      </c>
      <c r="N5" s="14">
        <v>0.7</v>
      </c>
    </row>
    <row r="6" spans="1:14" ht="45" customHeight="1">
      <c r="A6" s="13" t="s">
        <v>1789</v>
      </c>
      <c r="B6" s="13" t="s">
        <v>318</v>
      </c>
      <c r="C6" s="13" t="s">
        <v>1596</v>
      </c>
      <c r="D6" s="13" t="s">
        <v>463</v>
      </c>
      <c r="E6" s="13" t="s">
        <v>1598</v>
      </c>
      <c r="F6" s="13" t="s">
        <v>839</v>
      </c>
      <c r="G6" s="13" t="s">
        <v>840</v>
      </c>
      <c r="H6" s="13"/>
      <c r="I6" s="13">
        <v>3</v>
      </c>
      <c r="J6" s="13">
        <v>2</v>
      </c>
      <c r="K6" s="13" t="s">
        <v>1785</v>
      </c>
      <c r="L6" s="13" t="s">
        <v>1786</v>
      </c>
      <c r="M6" s="13" t="s">
        <v>1744</v>
      </c>
      <c r="N6" s="13">
        <v>0.74</v>
      </c>
    </row>
    <row r="7" spans="1:14" ht="45" customHeight="1">
      <c r="A7" s="14" t="s">
        <v>1790</v>
      </c>
      <c r="B7" s="14" t="s">
        <v>318</v>
      </c>
      <c r="C7" s="14" t="s">
        <v>1596</v>
      </c>
      <c r="D7" s="14" t="s">
        <v>463</v>
      </c>
      <c r="E7" s="14" t="s">
        <v>1598</v>
      </c>
      <c r="F7" s="14" t="s">
        <v>842</v>
      </c>
      <c r="G7" s="14" t="s">
        <v>843</v>
      </c>
      <c r="H7" s="14"/>
      <c r="I7" s="14">
        <v>4</v>
      </c>
      <c r="J7" s="14">
        <v>1</v>
      </c>
      <c r="K7" s="14" t="s">
        <v>1785</v>
      </c>
      <c r="L7" s="14" t="s">
        <v>1786</v>
      </c>
      <c r="M7" s="14" t="s">
        <v>1744</v>
      </c>
      <c r="N7" s="14">
        <v>0.83</v>
      </c>
    </row>
    <row r="8" spans="1:14" ht="45" customHeight="1">
      <c r="A8" s="13" t="s">
        <v>1791</v>
      </c>
      <c r="B8" s="13" t="s">
        <v>318</v>
      </c>
      <c r="C8" s="13" t="s">
        <v>1596</v>
      </c>
      <c r="D8" s="13" t="s">
        <v>463</v>
      </c>
      <c r="E8" s="13" t="s">
        <v>1598</v>
      </c>
      <c r="F8" s="13" t="s">
        <v>845</v>
      </c>
      <c r="G8" s="13" t="s">
        <v>846</v>
      </c>
      <c r="H8" s="13"/>
      <c r="I8" s="13">
        <v>3</v>
      </c>
      <c r="J8" s="13">
        <v>2</v>
      </c>
      <c r="K8" s="13" t="s">
        <v>1785</v>
      </c>
      <c r="L8" s="13" t="s">
        <v>1788</v>
      </c>
      <c r="M8" s="13" t="s">
        <v>1744</v>
      </c>
      <c r="N8" s="13">
        <v>0.87</v>
      </c>
    </row>
    <row r="9" spans="1:14" ht="45" customHeight="1">
      <c r="A9" s="14" t="s">
        <v>1792</v>
      </c>
      <c r="B9" s="14" t="s">
        <v>318</v>
      </c>
      <c r="C9" s="14" t="s">
        <v>1596</v>
      </c>
      <c r="D9" s="14" t="s">
        <v>463</v>
      </c>
      <c r="E9" s="14" t="s">
        <v>1598</v>
      </c>
      <c r="F9" s="14" t="s">
        <v>848</v>
      </c>
      <c r="G9" s="14" t="s">
        <v>849</v>
      </c>
      <c r="H9" s="14"/>
      <c r="I9" s="14">
        <v>4</v>
      </c>
      <c r="J9" s="14">
        <v>2</v>
      </c>
      <c r="K9" s="14" t="s">
        <v>1785</v>
      </c>
      <c r="L9" s="14" t="s">
        <v>1786</v>
      </c>
      <c r="M9" s="14" t="s">
        <v>1744</v>
      </c>
      <c r="N9" s="14">
        <v>0.76</v>
      </c>
    </row>
    <row r="10" spans="1:14" ht="45" customHeight="1">
      <c r="A10" s="13" t="s">
        <v>1793</v>
      </c>
      <c r="B10" s="13" t="s">
        <v>318</v>
      </c>
      <c r="C10" s="13" t="s">
        <v>1596</v>
      </c>
      <c r="D10" s="13" t="s">
        <v>463</v>
      </c>
      <c r="E10" s="13" t="s">
        <v>1598</v>
      </c>
      <c r="F10" s="13" t="s">
        <v>851</v>
      </c>
      <c r="G10" s="13" t="s">
        <v>852</v>
      </c>
      <c r="H10" s="13"/>
      <c r="I10" s="13">
        <v>4</v>
      </c>
      <c r="J10" s="13">
        <v>3</v>
      </c>
      <c r="K10" s="13" t="s">
        <v>1785</v>
      </c>
      <c r="L10" s="13" t="s">
        <v>1786</v>
      </c>
      <c r="M10" s="13" t="s">
        <v>1744</v>
      </c>
      <c r="N10" s="13">
        <v>0.83</v>
      </c>
    </row>
    <row r="11" spans="1:14" ht="45" customHeight="1">
      <c r="A11" s="14" t="s">
        <v>1794</v>
      </c>
      <c r="B11" s="14" t="s">
        <v>318</v>
      </c>
      <c r="C11" s="14" t="s">
        <v>1596</v>
      </c>
      <c r="D11" s="14" t="s">
        <v>463</v>
      </c>
      <c r="E11" s="14" t="s">
        <v>1598</v>
      </c>
      <c r="F11" s="14" t="s">
        <v>854</v>
      </c>
      <c r="G11" s="14" t="s">
        <v>855</v>
      </c>
      <c r="H11" s="14"/>
      <c r="I11" s="14">
        <v>4</v>
      </c>
      <c r="J11" s="14">
        <v>1</v>
      </c>
      <c r="K11" s="14" t="s">
        <v>1785</v>
      </c>
      <c r="L11" s="14" t="s">
        <v>1786</v>
      </c>
      <c r="M11" s="14" t="s">
        <v>1744</v>
      </c>
      <c r="N11" s="14">
        <v>0.71</v>
      </c>
    </row>
    <row r="12" spans="1:14" ht="45" customHeight="1">
      <c r="A12" s="13" t="s">
        <v>1795</v>
      </c>
      <c r="B12" s="13" t="s">
        <v>318</v>
      </c>
      <c r="C12" s="13" t="s">
        <v>1596</v>
      </c>
      <c r="D12" s="13" t="s">
        <v>463</v>
      </c>
      <c r="E12" s="13" t="s">
        <v>1598</v>
      </c>
      <c r="F12" s="13" t="s">
        <v>857</v>
      </c>
      <c r="G12" s="13" t="s">
        <v>858</v>
      </c>
      <c r="H12" s="13"/>
      <c r="I12" s="13">
        <v>4</v>
      </c>
      <c r="J12" s="13">
        <v>1</v>
      </c>
      <c r="K12" s="13" t="s">
        <v>1785</v>
      </c>
      <c r="L12" s="13" t="s">
        <v>1786</v>
      </c>
      <c r="M12" s="13" t="s">
        <v>1744</v>
      </c>
      <c r="N12" s="13">
        <v>0.72</v>
      </c>
    </row>
    <row r="13" spans="1:14" ht="45" customHeight="1">
      <c r="A13" s="14" t="s">
        <v>1796</v>
      </c>
      <c r="B13" s="14" t="s">
        <v>318</v>
      </c>
      <c r="C13" s="14" t="s">
        <v>1596</v>
      </c>
      <c r="D13" s="14" t="s">
        <v>463</v>
      </c>
      <c r="E13" s="14" t="s">
        <v>1598</v>
      </c>
      <c r="F13" s="14" t="s">
        <v>860</v>
      </c>
      <c r="G13" s="14" t="s">
        <v>861</v>
      </c>
      <c r="H13" s="14"/>
      <c r="I13" s="14">
        <v>4</v>
      </c>
      <c r="J13" s="14">
        <v>2</v>
      </c>
      <c r="K13" s="14" t="s">
        <v>1785</v>
      </c>
      <c r="L13" s="14" t="s">
        <v>1786</v>
      </c>
      <c r="M13" s="14" t="s">
        <v>1744</v>
      </c>
      <c r="N13" s="14">
        <v>0.85</v>
      </c>
    </row>
    <row r="14" spans="1:14" ht="45" customHeight="1">
      <c r="A14" s="13" t="s">
        <v>1797</v>
      </c>
      <c r="B14" s="13" t="s">
        <v>318</v>
      </c>
      <c r="C14" s="13" t="s">
        <v>1605</v>
      </c>
      <c r="D14" s="13" t="s">
        <v>463</v>
      </c>
      <c r="E14" s="13" t="s">
        <v>1598</v>
      </c>
      <c r="F14" s="13" t="s">
        <v>833</v>
      </c>
      <c r="G14" s="13" t="s">
        <v>834</v>
      </c>
      <c r="H14" s="13"/>
      <c r="I14" s="13">
        <v>3</v>
      </c>
      <c r="J14" s="13">
        <v>3</v>
      </c>
      <c r="K14" s="13" t="s">
        <v>1785</v>
      </c>
      <c r="L14" s="13" t="s">
        <v>1786</v>
      </c>
      <c r="M14" s="13" t="s">
        <v>1747</v>
      </c>
      <c r="N14" s="13">
        <v>0.92</v>
      </c>
    </row>
    <row r="15" spans="1:14" ht="45" customHeight="1">
      <c r="A15" s="14" t="s">
        <v>1798</v>
      </c>
      <c r="B15" s="14" t="s">
        <v>318</v>
      </c>
      <c r="C15" s="14" t="s">
        <v>1605</v>
      </c>
      <c r="D15" s="14" t="s">
        <v>463</v>
      </c>
      <c r="E15" s="14" t="s">
        <v>1598</v>
      </c>
      <c r="F15" s="14" t="s">
        <v>836</v>
      </c>
      <c r="G15" s="14" t="s">
        <v>837</v>
      </c>
      <c r="H15" s="14"/>
      <c r="I15" s="14">
        <v>4</v>
      </c>
      <c r="J15" s="14">
        <v>3</v>
      </c>
      <c r="K15" s="14" t="s">
        <v>1785</v>
      </c>
      <c r="L15" s="14" t="s">
        <v>1788</v>
      </c>
      <c r="M15" s="14" t="s">
        <v>1747</v>
      </c>
      <c r="N15" s="14">
        <v>0.82</v>
      </c>
    </row>
    <row r="16" spans="1:14" ht="45" customHeight="1">
      <c r="A16" s="13" t="s">
        <v>1799</v>
      </c>
      <c r="B16" s="13" t="s">
        <v>318</v>
      </c>
      <c r="C16" s="13" t="s">
        <v>1605</v>
      </c>
      <c r="D16" s="13" t="s">
        <v>463</v>
      </c>
      <c r="E16" s="13" t="s">
        <v>1598</v>
      </c>
      <c r="F16" s="13" t="s">
        <v>839</v>
      </c>
      <c r="G16" s="13" t="s">
        <v>840</v>
      </c>
      <c r="H16" s="13"/>
      <c r="I16" s="13">
        <v>3</v>
      </c>
      <c r="J16" s="13">
        <v>2</v>
      </c>
      <c r="K16" s="13" t="s">
        <v>1785</v>
      </c>
      <c r="L16" s="13" t="s">
        <v>1786</v>
      </c>
      <c r="M16" s="13" t="s">
        <v>1747</v>
      </c>
      <c r="N16" s="13">
        <v>0.73</v>
      </c>
    </row>
    <row r="17" spans="1:14" ht="45" customHeight="1">
      <c r="A17" s="14" t="s">
        <v>1800</v>
      </c>
      <c r="B17" s="14" t="s">
        <v>318</v>
      </c>
      <c r="C17" s="14" t="s">
        <v>1605</v>
      </c>
      <c r="D17" s="14" t="s">
        <v>463</v>
      </c>
      <c r="E17" s="14" t="s">
        <v>1598</v>
      </c>
      <c r="F17" s="14" t="s">
        <v>842</v>
      </c>
      <c r="G17" s="14" t="s">
        <v>843</v>
      </c>
      <c r="H17" s="14"/>
      <c r="I17" s="14">
        <v>4</v>
      </c>
      <c r="J17" s="14">
        <v>2</v>
      </c>
      <c r="K17" s="14" t="s">
        <v>1785</v>
      </c>
      <c r="L17" s="14" t="s">
        <v>1786</v>
      </c>
      <c r="M17" s="14" t="s">
        <v>1747</v>
      </c>
      <c r="N17" s="14">
        <v>0.92</v>
      </c>
    </row>
    <row r="18" spans="1:14" ht="45" customHeight="1">
      <c r="A18" s="13" t="s">
        <v>1801</v>
      </c>
      <c r="B18" s="13" t="s">
        <v>318</v>
      </c>
      <c r="C18" s="13" t="s">
        <v>1605</v>
      </c>
      <c r="D18" s="13" t="s">
        <v>463</v>
      </c>
      <c r="E18" s="13" t="s">
        <v>1598</v>
      </c>
      <c r="F18" s="13" t="s">
        <v>845</v>
      </c>
      <c r="G18" s="13" t="s">
        <v>846</v>
      </c>
      <c r="H18" s="13"/>
      <c r="I18" s="13">
        <v>3</v>
      </c>
      <c r="J18" s="13">
        <v>1</v>
      </c>
      <c r="K18" s="13" t="s">
        <v>1785</v>
      </c>
      <c r="L18" s="13" t="s">
        <v>1786</v>
      </c>
      <c r="M18" s="13" t="s">
        <v>1747</v>
      </c>
      <c r="N18" s="13">
        <v>0.69</v>
      </c>
    </row>
    <row r="19" spans="1:14" ht="45" customHeight="1">
      <c r="A19" s="14" t="s">
        <v>1802</v>
      </c>
      <c r="B19" s="14" t="s">
        <v>318</v>
      </c>
      <c r="C19" s="14" t="s">
        <v>1605</v>
      </c>
      <c r="D19" s="14" t="s">
        <v>463</v>
      </c>
      <c r="E19" s="14" t="s">
        <v>1598</v>
      </c>
      <c r="F19" s="14" t="s">
        <v>848</v>
      </c>
      <c r="G19" s="14" t="s">
        <v>849</v>
      </c>
      <c r="H19" s="14"/>
      <c r="I19" s="14">
        <v>4</v>
      </c>
      <c r="J19" s="14">
        <v>2</v>
      </c>
      <c r="K19" s="14" t="s">
        <v>1785</v>
      </c>
      <c r="L19" s="14" t="s">
        <v>1786</v>
      </c>
      <c r="M19" s="14" t="s">
        <v>1747</v>
      </c>
      <c r="N19" s="14">
        <v>0.87</v>
      </c>
    </row>
    <row r="20" spans="1:14" ht="45" customHeight="1">
      <c r="A20" s="13" t="s">
        <v>1803</v>
      </c>
      <c r="B20" s="13" t="s">
        <v>318</v>
      </c>
      <c r="C20" s="13" t="s">
        <v>1605</v>
      </c>
      <c r="D20" s="13" t="s">
        <v>463</v>
      </c>
      <c r="E20" s="13" t="s">
        <v>1598</v>
      </c>
      <c r="F20" s="13" t="s">
        <v>851</v>
      </c>
      <c r="G20" s="13" t="s">
        <v>852</v>
      </c>
      <c r="H20" s="13"/>
      <c r="I20" s="13">
        <v>4</v>
      </c>
      <c r="J20" s="13">
        <v>2</v>
      </c>
      <c r="K20" s="13" t="s">
        <v>1785</v>
      </c>
      <c r="L20" s="13" t="s">
        <v>1788</v>
      </c>
      <c r="M20" s="13" t="s">
        <v>1747</v>
      </c>
      <c r="N20" s="13">
        <v>0.93</v>
      </c>
    </row>
    <row r="21" spans="1:14" ht="45" customHeight="1">
      <c r="A21" s="14" t="s">
        <v>1804</v>
      </c>
      <c r="B21" s="14" t="s">
        <v>318</v>
      </c>
      <c r="C21" s="14" t="s">
        <v>1605</v>
      </c>
      <c r="D21" s="14" t="s">
        <v>463</v>
      </c>
      <c r="E21" s="14" t="s">
        <v>1598</v>
      </c>
      <c r="F21" s="14" t="s">
        <v>854</v>
      </c>
      <c r="G21" s="14" t="s">
        <v>855</v>
      </c>
      <c r="H21" s="14"/>
      <c r="I21" s="14">
        <v>4</v>
      </c>
      <c r="J21" s="14">
        <v>2</v>
      </c>
      <c r="K21" s="14" t="s">
        <v>1785</v>
      </c>
      <c r="L21" s="14" t="s">
        <v>1786</v>
      </c>
      <c r="M21" s="14" t="s">
        <v>1747</v>
      </c>
      <c r="N21" s="14">
        <v>0.83</v>
      </c>
    </row>
    <row r="22" spans="1:14" ht="45" customHeight="1">
      <c r="A22" s="13" t="s">
        <v>1805</v>
      </c>
      <c r="B22" s="13" t="s">
        <v>318</v>
      </c>
      <c r="C22" s="13" t="s">
        <v>1605</v>
      </c>
      <c r="D22" s="13" t="s">
        <v>463</v>
      </c>
      <c r="E22" s="13" t="s">
        <v>1598</v>
      </c>
      <c r="F22" s="13" t="s">
        <v>857</v>
      </c>
      <c r="G22" s="13" t="s">
        <v>858</v>
      </c>
      <c r="H22" s="13"/>
      <c r="I22" s="13">
        <v>4</v>
      </c>
      <c r="J22" s="13">
        <v>3</v>
      </c>
      <c r="K22" s="13" t="s">
        <v>1785</v>
      </c>
      <c r="L22" s="13" t="s">
        <v>1786</v>
      </c>
      <c r="M22" s="13" t="s">
        <v>1747</v>
      </c>
      <c r="N22" s="13">
        <v>0.91</v>
      </c>
    </row>
    <row r="23" spans="1:14" ht="45" customHeight="1">
      <c r="A23" s="14" t="s">
        <v>1806</v>
      </c>
      <c r="B23" s="14" t="s">
        <v>318</v>
      </c>
      <c r="C23" s="14" t="s">
        <v>1605</v>
      </c>
      <c r="D23" s="14" t="s">
        <v>463</v>
      </c>
      <c r="E23" s="14" t="s">
        <v>1598</v>
      </c>
      <c r="F23" s="14" t="s">
        <v>860</v>
      </c>
      <c r="G23" s="14" t="s">
        <v>861</v>
      </c>
      <c r="H23" s="14"/>
      <c r="I23" s="14">
        <v>4</v>
      </c>
      <c r="J23" s="14">
        <v>2</v>
      </c>
      <c r="K23" s="14" t="s">
        <v>1785</v>
      </c>
      <c r="L23" s="14" t="s">
        <v>1788</v>
      </c>
      <c r="M23" s="14" t="s">
        <v>1747</v>
      </c>
      <c r="N23" s="14">
        <v>0.71</v>
      </c>
    </row>
    <row r="24" spans="1:14" ht="45" customHeight="1">
      <c r="A24" s="13" t="s">
        <v>1807</v>
      </c>
      <c r="B24" s="13" t="s">
        <v>318</v>
      </c>
      <c r="C24" s="13" t="s">
        <v>1607</v>
      </c>
      <c r="D24" s="13" t="s">
        <v>463</v>
      </c>
      <c r="E24" s="13" t="s">
        <v>1598</v>
      </c>
      <c r="F24" s="13" t="s">
        <v>833</v>
      </c>
      <c r="G24" s="13" t="s">
        <v>834</v>
      </c>
      <c r="H24" s="13"/>
      <c r="I24" s="13">
        <v>3</v>
      </c>
      <c r="J24" s="13"/>
      <c r="K24" s="13" t="s">
        <v>1808</v>
      </c>
      <c r="L24" s="13" t="s">
        <v>1809</v>
      </c>
      <c r="M24" s="13" t="s">
        <v>1748</v>
      </c>
      <c r="N24" s="13"/>
    </row>
    <row r="25" spans="1:14" ht="45" customHeight="1">
      <c r="A25" s="14" t="s">
        <v>1810</v>
      </c>
      <c r="B25" s="14" t="s">
        <v>318</v>
      </c>
      <c r="C25" s="14" t="s">
        <v>1607</v>
      </c>
      <c r="D25" s="14" t="s">
        <v>463</v>
      </c>
      <c r="E25" s="14" t="s">
        <v>1598</v>
      </c>
      <c r="F25" s="14" t="s">
        <v>836</v>
      </c>
      <c r="G25" s="14" t="s">
        <v>837</v>
      </c>
      <c r="H25" s="14"/>
      <c r="I25" s="14">
        <v>4</v>
      </c>
      <c r="J25" s="14"/>
      <c r="K25" s="14" t="s">
        <v>1808</v>
      </c>
      <c r="L25" s="14" t="s">
        <v>1809</v>
      </c>
      <c r="M25" s="14" t="s">
        <v>1748</v>
      </c>
      <c r="N25" s="14"/>
    </row>
    <row r="26" spans="1:14" ht="45" customHeight="1">
      <c r="A26" s="13" t="s">
        <v>1811</v>
      </c>
      <c r="B26" s="13" t="s">
        <v>318</v>
      </c>
      <c r="C26" s="13" t="s">
        <v>1607</v>
      </c>
      <c r="D26" s="13" t="s">
        <v>463</v>
      </c>
      <c r="E26" s="13" t="s">
        <v>1598</v>
      </c>
      <c r="F26" s="13" t="s">
        <v>839</v>
      </c>
      <c r="G26" s="13" t="s">
        <v>840</v>
      </c>
      <c r="H26" s="13"/>
      <c r="I26" s="13">
        <v>3</v>
      </c>
      <c r="J26" s="13"/>
      <c r="K26" s="13" t="s">
        <v>1808</v>
      </c>
      <c r="L26" s="13" t="s">
        <v>1809</v>
      </c>
      <c r="M26" s="13" t="s">
        <v>1748</v>
      </c>
      <c r="N26" s="13"/>
    </row>
    <row r="27" spans="1:14" ht="45" customHeight="1">
      <c r="A27" s="14" t="s">
        <v>1812</v>
      </c>
      <c r="B27" s="14" t="s">
        <v>318</v>
      </c>
      <c r="C27" s="14" t="s">
        <v>1607</v>
      </c>
      <c r="D27" s="14" t="s">
        <v>463</v>
      </c>
      <c r="E27" s="14" t="s">
        <v>1598</v>
      </c>
      <c r="F27" s="14" t="s">
        <v>842</v>
      </c>
      <c r="G27" s="14" t="s">
        <v>843</v>
      </c>
      <c r="H27" s="14"/>
      <c r="I27" s="14">
        <v>4</v>
      </c>
      <c r="J27" s="14"/>
      <c r="K27" s="14" t="s">
        <v>1808</v>
      </c>
      <c r="L27" s="14" t="s">
        <v>1809</v>
      </c>
      <c r="M27" s="14" t="s">
        <v>1748</v>
      </c>
      <c r="N27" s="14"/>
    </row>
    <row r="28" spans="1:14" ht="45" customHeight="1">
      <c r="A28" s="13" t="s">
        <v>1813</v>
      </c>
      <c r="B28" s="13" t="s">
        <v>318</v>
      </c>
      <c r="C28" s="13" t="s">
        <v>1607</v>
      </c>
      <c r="D28" s="13" t="s">
        <v>463</v>
      </c>
      <c r="E28" s="13" t="s">
        <v>1598</v>
      </c>
      <c r="F28" s="13" t="s">
        <v>845</v>
      </c>
      <c r="G28" s="13" t="s">
        <v>846</v>
      </c>
      <c r="H28" s="13"/>
      <c r="I28" s="13">
        <v>3</v>
      </c>
      <c r="J28" s="13"/>
      <c r="K28" s="13" t="s">
        <v>1808</v>
      </c>
      <c r="L28" s="13" t="s">
        <v>1809</v>
      </c>
      <c r="M28" s="13" t="s">
        <v>1748</v>
      </c>
      <c r="N28" s="13"/>
    </row>
    <row r="29" spans="1:14" ht="45" customHeight="1">
      <c r="A29" s="14" t="s">
        <v>1814</v>
      </c>
      <c r="B29" s="14" t="s">
        <v>318</v>
      </c>
      <c r="C29" s="14" t="s">
        <v>1607</v>
      </c>
      <c r="D29" s="14" t="s">
        <v>463</v>
      </c>
      <c r="E29" s="14" t="s">
        <v>1598</v>
      </c>
      <c r="F29" s="14" t="s">
        <v>848</v>
      </c>
      <c r="G29" s="14" t="s">
        <v>849</v>
      </c>
      <c r="H29" s="14"/>
      <c r="I29" s="14">
        <v>4</v>
      </c>
      <c r="J29" s="14"/>
      <c r="K29" s="14" t="s">
        <v>1808</v>
      </c>
      <c r="L29" s="14" t="s">
        <v>1809</v>
      </c>
      <c r="M29" s="14" t="s">
        <v>1748</v>
      </c>
      <c r="N29" s="14"/>
    </row>
    <row r="30" spans="1:14" ht="45" customHeight="1">
      <c r="A30" s="13" t="s">
        <v>1815</v>
      </c>
      <c r="B30" s="13" t="s">
        <v>318</v>
      </c>
      <c r="C30" s="13" t="s">
        <v>1607</v>
      </c>
      <c r="D30" s="13" t="s">
        <v>463</v>
      </c>
      <c r="E30" s="13" t="s">
        <v>1598</v>
      </c>
      <c r="F30" s="13" t="s">
        <v>851</v>
      </c>
      <c r="G30" s="13" t="s">
        <v>852</v>
      </c>
      <c r="H30" s="13"/>
      <c r="I30" s="13">
        <v>4</v>
      </c>
      <c r="J30" s="13"/>
      <c r="K30" s="13" t="s">
        <v>1808</v>
      </c>
      <c r="L30" s="13" t="s">
        <v>1809</v>
      </c>
      <c r="M30" s="13" t="s">
        <v>1748</v>
      </c>
      <c r="N30" s="13"/>
    </row>
    <row r="31" spans="1:14" ht="45" customHeight="1">
      <c r="A31" s="14" t="s">
        <v>1816</v>
      </c>
      <c r="B31" s="14" t="s">
        <v>318</v>
      </c>
      <c r="C31" s="14" t="s">
        <v>1607</v>
      </c>
      <c r="D31" s="14" t="s">
        <v>463</v>
      </c>
      <c r="E31" s="14" t="s">
        <v>1598</v>
      </c>
      <c r="F31" s="14" t="s">
        <v>854</v>
      </c>
      <c r="G31" s="14" t="s">
        <v>855</v>
      </c>
      <c r="H31" s="14"/>
      <c r="I31" s="14">
        <v>4</v>
      </c>
      <c r="J31" s="14"/>
      <c r="K31" s="14" t="s">
        <v>1808</v>
      </c>
      <c r="L31" s="14" t="s">
        <v>1809</v>
      </c>
      <c r="M31" s="14" t="s">
        <v>1748</v>
      </c>
      <c r="N31" s="14"/>
    </row>
    <row r="32" spans="1:14" ht="45" customHeight="1">
      <c r="A32" s="13" t="s">
        <v>1817</v>
      </c>
      <c r="B32" s="13" t="s">
        <v>318</v>
      </c>
      <c r="C32" s="13" t="s">
        <v>1607</v>
      </c>
      <c r="D32" s="13" t="s">
        <v>463</v>
      </c>
      <c r="E32" s="13" t="s">
        <v>1598</v>
      </c>
      <c r="F32" s="13" t="s">
        <v>857</v>
      </c>
      <c r="G32" s="13" t="s">
        <v>858</v>
      </c>
      <c r="H32" s="13"/>
      <c r="I32" s="13">
        <v>4</v>
      </c>
      <c r="J32" s="13"/>
      <c r="K32" s="13" t="s">
        <v>1808</v>
      </c>
      <c r="L32" s="13" t="s">
        <v>1809</v>
      </c>
      <c r="M32" s="13" t="s">
        <v>1748</v>
      </c>
      <c r="N32" s="13"/>
    </row>
    <row r="33" spans="1:14" ht="45" customHeight="1">
      <c r="A33" s="14" t="s">
        <v>1818</v>
      </c>
      <c r="B33" s="14" t="s">
        <v>318</v>
      </c>
      <c r="C33" s="14" t="s">
        <v>1607</v>
      </c>
      <c r="D33" s="14" t="s">
        <v>463</v>
      </c>
      <c r="E33" s="14" t="s">
        <v>1598</v>
      </c>
      <c r="F33" s="14" t="s">
        <v>860</v>
      </c>
      <c r="G33" s="14" t="s">
        <v>861</v>
      </c>
      <c r="H33" s="14"/>
      <c r="I33" s="14">
        <v>4</v>
      </c>
      <c r="J33" s="14"/>
      <c r="K33" s="14" t="s">
        <v>1808</v>
      </c>
      <c r="L33" s="14" t="s">
        <v>1809</v>
      </c>
      <c r="M33" s="14" t="s">
        <v>1748</v>
      </c>
      <c r="N33" s="14"/>
    </row>
    <row r="34" spans="1:14" ht="45" customHeight="1">
      <c r="A34" s="13" t="s">
        <v>1819</v>
      </c>
      <c r="B34" s="13" t="s">
        <v>318</v>
      </c>
      <c r="C34" s="13" t="s">
        <v>1609</v>
      </c>
      <c r="D34" s="13" t="s">
        <v>463</v>
      </c>
      <c r="E34" s="13" t="s">
        <v>1598</v>
      </c>
      <c r="F34" s="13" t="s">
        <v>833</v>
      </c>
      <c r="G34" s="13" t="s">
        <v>834</v>
      </c>
      <c r="H34" s="13"/>
      <c r="I34" s="13">
        <v>3</v>
      </c>
      <c r="J34" s="13"/>
      <c r="K34" s="13" t="s">
        <v>1808</v>
      </c>
      <c r="L34" s="13" t="s">
        <v>1809</v>
      </c>
      <c r="M34" s="13" t="s">
        <v>1750</v>
      </c>
      <c r="N34" s="13"/>
    </row>
    <row r="35" spans="1:14" ht="45" customHeight="1">
      <c r="A35" s="14" t="s">
        <v>1820</v>
      </c>
      <c r="B35" s="14" t="s">
        <v>318</v>
      </c>
      <c r="C35" s="14" t="s">
        <v>1609</v>
      </c>
      <c r="D35" s="14" t="s">
        <v>463</v>
      </c>
      <c r="E35" s="14" t="s">
        <v>1598</v>
      </c>
      <c r="F35" s="14" t="s">
        <v>836</v>
      </c>
      <c r="G35" s="14" t="s">
        <v>837</v>
      </c>
      <c r="H35" s="14"/>
      <c r="I35" s="14">
        <v>4</v>
      </c>
      <c r="J35" s="14"/>
      <c r="K35" s="14" t="s">
        <v>1808</v>
      </c>
      <c r="L35" s="14" t="s">
        <v>1809</v>
      </c>
      <c r="M35" s="14" t="s">
        <v>1750</v>
      </c>
      <c r="N35" s="14"/>
    </row>
    <row r="36" spans="1:14" ht="45" customHeight="1">
      <c r="A36" s="13" t="s">
        <v>1821</v>
      </c>
      <c r="B36" s="13" t="s">
        <v>318</v>
      </c>
      <c r="C36" s="13" t="s">
        <v>1609</v>
      </c>
      <c r="D36" s="13" t="s">
        <v>463</v>
      </c>
      <c r="E36" s="13" t="s">
        <v>1598</v>
      </c>
      <c r="F36" s="13" t="s">
        <v>839</v>
      </c>
      <c r="G36" s="13" t="s">
        <v>840</v>
      </c>
      <c r="H36" s="13"/>
      <c r="I36" s="13">
        <v>3</v>
      </c>
      <c r="J36" s="13"/>
      <c r="K36" s="13" t="s">
        <v>1808</v>
      </c>
      <c r="L36" s="13" t="s">
        <v>1809</v>
      </c>
      <c r="M36" s="13" t="s">
        <v>1750</v>
      </c>
      <c r="N36" s="13"/>
    </row>
    <row r="37" spans="1:14" ht="45" customHeight="1">
      <c r="A37" s="14" t="s">
        <v>1822</v>
      </c>
      <c r="B37" s="14" t="s">
        <v>318</v>
      </c>
      <c r="C37" s="14" t="s">
        <v>1609</v>
      </c>
      <c r="D37" s="14" t="s">
        <v>463</v>
      </c>
      <c r="E37" s="14" t="s">
        <v>1598</v>
      </c>
      <c r="F37" s="14" t="s">
        <v>842</v>
      </c>
      <c r="G37" s="14" t="s">
        <v>843</v>
      </c>
      <c r="H37" s="14"/>
      <c r="I37" s="14">
        <v>4</v>
      </c>
      <c r="J37" s="14"/>
      <c r="K37" s="14" t="s">
        <v>1808</v>
      </c>
      <c r="L37" s="14" t="s">
        <v>1809</v>
      </c>
      <c r="M37" s="14" t="s">
        <v>1750</v>
      </c>
      <c r="N37" s="14"/>
    </row>
    <row r="38" spans="1:14" ht="45" customHeight="1">
      <c r="A38" s="13" t="s">
        <v>1823</v>
      </c>
      <c r="B38" s="13" t="s">
        <v>318</v>
      </c>
      <c r="C38" s="13" t="s">
        <v>1609</v>
      </c>
      <c r="D38" s="13" t="s">
        <v>463</v>
      </c>
      <c r="E38" s="13" t="s">
        <v>1598</v>
      </c>
      <c r="F38" s="13" t="s">
        <v>845</v>
      </c>
      <c r="G38" s="13" t="s">
        <v>846</v>
      </c>
      <c r="H38" s="13"/>
      <c r="I38" s="13">
        <v>3</v>
      </c>
      <c r="J38" s="13"/>
      <c r="K38" s="13" t="s">
        <v>1808</v>
      </c>
      <c r="L38" s="13" t="s">
        <v>1809</v>
      </c>
      <c r="M38" s="13" t="s">
        <v>1750</v>
      </c>
      <c r="N38" s="13"/>
    </row>
    <row r="39" spans="1:14" ht="45" customHeight="1">
      <c r="A39" s="14" t="s">
        <v>1824</v>
      </c>
      <c r="B39" s="14" t="s">
        <v>318</v>
      </c>
      <c r="C39" s="14" t="s">
        <v>1609</v>
      </c>
      <c r="D39" s="14" t="s">
        <v>463</v>
      </c>
      <c r="E39" s="14" t="s">
        <v>1598</v>
      </c>
      <c r="F39" s="14" t="s">
        <v>848</v>
      </c>
      <c r="G39" s="14" t="s">
        <v>849</v>
      </c>
      <c r="H39" s="14"/>
      <c r="I39" s="14">
        <v>4</v>
      </c>
      <c r="J39" s="14"/>
      <c r="K39" s="14" t="s">
        <v>1808</v>
      </c>
      <c r="L39" s="14" t="s">
        <v>1809</v>
      </c>
      <c r="M39" s="14" t="s">
        <v>1750</v>
      </c>
      <c r="N39" s="14"/>
    </row>
    <row r="40" spans="1:14" ht="45" customHeight="1">
      <c r="A40" s="13" t="s">
        <v>1825</v>
      </c>
      <c r="B40" s="13" t="s">
        <v>318</v>
      </c>
      <c r="C40" s="13" t="s">
        <v>1609</v>
      </c>
      <c r="D40" s="13" t="s">
        <v>463</v>
      </c>
      <c r="E40" s="13" t="s">
        <v>1598</v>
      </c>
      <c r="F40" s="13" t="s">
        <v>851</v>
      </c>
      <c r="G40" s="13" t="s">
        <v>852</v>
      </c>
      <c r="H40" s="13"/>
      <c r="I40" s="13">
        <v>4</v>
      </c>
      <c r="J40" s="13"/>
      <c r="K40" s="13" t="s">
        <v>1808</v>
      </c>
      <c r="L40" s="13" t="s">
        <v>1809</v>
      </c>
      <c r="M40" s="13" t="s">
        <v>1750</v>
      </c>
      <c r="N40" s="13"/>
    </row>
    <row r="41" spans="1:14" ht="45" customHeight="1">
      <c r="A41" s="14" t="s">
        <v>1826</v>
      </c>
      <c r="B41" s="14" t="s">
        <v>318</v>
      </c>
      <c r="C41" s="14" t="s">
        <v>1609</v>
      </c>
      <c r="D41" s="14" t="s">
        <v>463</v>
      </c>
      <c r="E41" s="14" t="s">
        <v>1598</v>
      </c>
      <c r="F41" s="14" t="s">
        <v>854</v>
      </c>
      <c r="G41" s="14" t="s">
        <v>855</v>
      </c>
      <c r="H41" s="14"/>
      <c r="I41" s="14">
        <v>4</v>
      </c>
      <c r="J41" s="14"/>
      <c r="K41" s="14" t="s">
        <v>1808</v>
      </c>
      <c r="L41" s="14" t="s">
        <v>1809</v>
      </c>
      <c r="M41" s="14" t="s">
        <v>1750</v>
      </c>
      <c r="N41" s="14"/>
    </row>
    <row r="42" spans="1:14" ht="45" customHeight="1">
      <c r="A42" s="13" t="s">
        <v>1827</v>
      </c>
      <c r="B42" s="13" t="s">
        <v>318</v>
      </c>
      <c r="C42" s="13" t="s">
        <v>1609</v>
      </c>
      <c r="D42" s="13" t="s">
        <v>463</v>
      </c>
      <c r="E42" s="13" t="s">
        <v>1598</v>
      </c>
      <c r="F42" s="13" t="s">
        <v>857</v>
      </c>
      <c r="G42" s="13" t="s">
        <v>858</v>
      </c>
      <c r="H42" s="13"/>
      <c r="I42" s="13">
        <v>4</v>
      </c>
      <c r="J42" s="13"/>
      <c r="K42" s="13" t="s">
        <v>1808</v>
      </c>
      <c r="L42" s="13" t="s">
        <v>1809</v>
      </c>
      <c r="M42" s="13" t="s">
        <v>1750</v>
      </c>
      <c r="N42" s="13"/>
    </row>
    <row r="43" spans="1:14" ht="45" customHeight="1">
      <c r="A43" s="14" t="s">
        <v>1828</v>
      </c>
      <c r="B43" s="14" t="s">
        <v>318</v>
      </c>
      <c r="C43" s="14" t="s">
        <v>1609</v>
      </c>
      <c r="D43" s="14" t="s">
        <v>463</v>
      </c>
      <c r="E43" s="14" t="s">
        <v>1598</v>
      </c>
      <c r="F43" s="14" t="s">
        <v>860</v>
      </c>
      <c r="G43" s="14" t="s">
        <v>861</v>
      </c>
      <c r="H43" s="14"/>
      <c r="I43" s="14">
        <v>4</v>
      </c>
      <c r="J43" s="14"/>
      <c r="K43" s="14" t="s">
        <v>1808</v>
      </c>
      <c r="L43" s="14" t="s">
        <v>1809</v>
      </c>
      <c r="M43" s="14" t="s">
        <v>1750</v>
      </c>
      <c r="N43" s="14"/>
    </row>
    <row r="44" spans="1:14" ht="45" customHeight="1">
      <c r="A44" s="13" t="s">
        <v>1829</v>
      </c>
      <c r="B44" s="13" t="s">
        <v>318</v>
      </c>
      <c r="C44" s="13" t="s">
        <v>1611</v>
      </c>
      <c r="D44" s="13" t="s">
        <v>471</v>
      </c>
      <c r="E44" s="13" t="s">
        <v>1613</v>
      </c>
      <c r="F44" s="13" t="s">
        <v>833</v>
      </c>
      <c r="G44" s="13" t="s">
        <v>834</v>
      </c>
      <c r="H44" s="13"/>
      <c r="I44" s="13">
        <v>3</v>
      </c>
      <c r="J44" s="13">
        <v>2</v>
      </c>
      <c r="K44" s="13" t="s">
        <v>1785</v>
      </c>
      <c r="L44" s="13" t="s">
        <v>1786</v>
      </c>
      <c r="M44" s="13" t="s">
        <v>1751</v>
      </c>
      <c r="N44" s="13">
        <v>0.92</v>
      </c>
    </row>
    <row r="45" spans="1:14" ht="45" customHeight="1">
      <c r="A45" s="14" t="s">
        <v>1830</v>
      </c>
      <c r="B45" s="14" t="s">
        <v>318</v>
      </c>
      <c r="C45" s="14" t="s">
        <v>1611</v>
      </c>
      <c r="D45" s="14" t="s">
        <v>471</v>
      </c>
      <c r="E45" s="14" t="s">
        <v>1613</v>
      </c>
      <c r="F45" s="14" t="s">
        <v>836</v>
      </c>
      <c r="G45" s="14" t="s">
        <v>837</v>
      </c>
      <c r="H45" s="14"/>
      <c r="I45" s="14">
        <v>4</v>
      </c>
      <c r="J45" s="14">
        <v>2</v>
      </c>
      <c r="K45" s="14" t="s">
        <v>1785</v>
      </c>
      <c r="L45" s="14" t="s">
        <v>1786</v>
      </c>
      <c r="M45" s="14" t="s">
        <v>1751</v>
      </c>
      <c r="N45" s="14">
        <v>0.91</v>
      </c>
    </row>
    <row r="46" spans="1:14" ht="45" customHeight="1">
      <c r="A46" s="13" t="s">
        <v>1831</v>
      </c>
      <c r="B46" s="13" t="s">
        <v>318</v>
      </c>
      <c r="C46" s="13" t="s">
        <v>1611</v>
      </c>
      <c r="D46" s="13" t="s">
        <v>471</v>
      </c>
      <c r="E46" s="13" t="s">
        <v>1613</v>
      </c>
      <c r="F46" s="13" t="s">
        <v>839</v>
      </c>
      <c r="G46" s="13" t="s">
        <v>840</v>
      </c>
      <c r="H46" s="13"/>
      <c r="I46" s="13">
        <v>3</v>
      </c>
      <c r="J46" s="13">
        <v>2</v>
      </c>
      <c r="K46" s="13" t="s">
        <v>1785</v>
      </c>
      <c r="L46" s="13" t="s">
        <v>1786</v>
      </c>
      <c r="M46" s="13" t="s">
        <v>1751</v>
      </c>
      <c r="N46" s="13">
        <v>0.92</v>
      </c>
    </row>
    <row r="47" spans="1:14" ht="45" customHeight="1">
      <c r="A47" s="14" t="s">
        <v>1832</v>
      </c>
      <c r="B47" s="14" t="s">
        <v>318</v>
      </c>
      <c r="C47" s="14" t="s">
        <v>1611</v>
      </c>
      <c r="D47" s="14" t="s">
        <v>471</v>
      </c>
      <c r="E47" s="14" t="s">
        <v>1613</v>
      </c>
      <c r="F47" s="14" t="s">
        <v>842</v>
      </c>
      <c r="G47" s="14" t="s">
        <v>843</v>
      </c>
      <c r="H47" s="14"/>
      <c r="I47" s="14">
        <v>4</v>
      </c>
      <c r="J47" s="14">
        <v>2</v>
      </c>
      <c r="K47" s="14" t="s">
        <v>1785</v>
      </c>
      <c r="L47" s="14" t="s">
        <v>1786</v>
      </c>
      <c r="M47" s="14" t="s">
        <v>1751</v>
      </c>
      <c r="N47" s="14">
        <v>0.71</v>
      </c>
    </row>
    <row r="48" spans="1:14" ht="45" customHeight="1">
      <c r="A48" s="13" t="s">
        <v>1833</v>
      </c>
      <c r="B48" s="13" t="s">
        <v>318</v>
      </c>
      <c r="C48" s="13" t="s">
        <v>1611</v>
      </c>
      <c r="D48" s="13" t="s">
        <v>471</v>
      </c>
      <c r="E48" s="13" t="s">
        <v>1613</v>
      </c>
      <c r="F48" s="13" t="s">
        <v>881</v>
      </c>
      <c r="G48" s="13" t="s">
        <v>629</v>
      </c>
      <c r="H48" s="13"/>
      <c r="I48" s="13">
        <v>3</v>
      </c>
      <c r="J48" s="13">
        <v>2</v>
      </c>
      <c r="K48" s="13" t="s">
        <v>1785</v>
      </c>
      <c r="L48" s="13" t="s">
        <v>1786</v>
      </c>
      <c r="M48" s="13" t="s">
        <v>1751</v>
      </c>
      <c r="N48" s="13">
        <v>0.8</v>
      </c>
    </row>
    <row r="49" spans="1:14" ht="45" customHeight="1">
      <c r="A49" s="14" t="s">
        <v>1834</v>
      </c>
      <c r="B49" s="14" t="s">
        <v>318</v>
      </c>
      <c r="C49" s="14" t="s">
        <v>1611</v>
      </c>
      <c r="D49" s="14" t="s">
        <v>471</v>
      </c>
      <c r="E49" s="14" t="s">
        <v>1613</v>
      </c>
      <c r="F49" s="14" t="s">
        <v>848</v>
      </c>
      <c r="G49" s="14" t="s">
        <v>849</v>
      </c>
      <c r="H49" s="14"/>
      <c r="I49" s="14">
        <v>4</v>
      </c>
      <c r="J49" s="14">
        <v>2</v>
      </c>
      <c r="K49" s="14" t="s">
        <v>1785</v>
      </c>
      <c r="L49" s="14" t="s">
        <v>1786</v>
      </c>
      <c r="M49" s="14" t="s">
        <v>1751</v>
      </c>
      <c r="N49" s="14">
        <v>0.78</v>
      </c>
    </row>
    <row r="50" spans="1:14" ht="45" customHeight="1">
      <c r="A50" s="13" t="s">
        <v>1835</v>
      </c>
      <c r="B50" s="13" t="s">
        <v>318</v>
      </c>
      <c r="C50" s="13" t="s">
        <v>1611</v>
      </c>
      <c r="D50" s="13" t="s">
        <v>471</v>
      </c>
      <c r="E50" s="13" t="s">
        <v>1613</v>
      </c>
      <c r="F50" s="13" t="s">
        <v>851</v>
      </c>
      <c r="G50" s="13" t="s">
        <v>852</v>
      </c>
      <c r="H50" s="13"/>
      <c r="I50" s="13">
        <v>4</v>
      </c>
      <c r="J50" s="13">
        <v>1</v>
      </c>
      <c r="K50" s="13" t="s">
        <v>1785</v>
      </c>
      <c r="L50" s="13" t="s">
        <v>1786</v>
      </c>
      <c r="M50" s="13" t="s">
        <v>1751</v>
      </c>
      <c r="N50" s="13">
        <v>0.85</v>
      </c>
    </row>
    <row r="51" spans="1:14" ht="45" customHeight="1">
      <c r="A51" s="14" t="s">
        <v>1836</v>
      </c>
      <c r="B51" s="14" t="s">
        <v>318</v>
      </c>
      <c r="C51" s="14" t="s">
        <v>1611</v>
      </c>
      <c r="D51" s="14" t="s">
        <v>471</v>
      </c>
      <c r="E51" s="14" t="s">
        <v>1613</v>
      </c>
      <c r="F51" s="14" t="s">
        <v>854</v>
      </c>
      <c r="G51" s="14" t="s">
        <v>855</v>
      </c>
      <c r="H51" s="14"/>
      <c r="I51" s="14">
        <v>4</v>
      </c>
      <c r="J51" s="14">
        <v>3</v>
      </c>
      <c r="K51" s="14" t="s">
        <v>1785</v>
      </c>
      <c r="L51" s="14" t="s">
        <v>1788</v>
      </c>
      <c r="M51" s="14" t="s">
        <v>1751</v>
      </c>
      <c r="N51" s="14">
        <v>0.91</v>
      </c>
    </row>
    <row r="52" spans="1:14" ht="45" customHeight="1">
      <c r="A52" s="13" t="s">
        <v>1837</v>
      </c>
      <c r="B52" s="13" t="s">
        <v>318</v>
      </c>
      <c r="C52" s="13" t="s">
        <v>1611</v>
      </c>
      <c r="D52" s="13" t="s">
        <v>471</v>
      </c>
      <c r="E52" s="13" t="s">
        <v>1613</v>
      </c>
      <c r="F52" s="13" t="s">
        <v>857</v>
      </c>
      <c r="G52" s="13" t="s">
        <v>858</v>
      </c>
      <c r="H52" s="13"/>
      <c r="I52" s="13">
        <v>4</v>
      </c>
      <c r="J52" s="13">
        <v>2</v>
      </c>
      <c r="K52" s="13" t="s">
        <v>1785</v>
      </c>
      <c r="L52" s="13" t="s">
        <v>1786</v>
      </c>
      <c r="M52" s="13" t="s">
        <v>1751</v>
      </c>
      <c r="N52" s="13">
        <v>0.69</v>
      </c>
    </row>
    <row r="53" spans="1:14" ht="45" customHeight="1">
      <c r="A53" s="14" t="s">
        <v>1838</v>
      </c>
      <c r="B53" s="14" t="s">
        <v>318</v>
      </c>
      <c r="C53" s="14" t="s">
        <v>1611</v>
      </c>
      <c r="D53" s="14" t="s">
        <v>471</v>
      </c>
      <c r="E53" s="14" t="s">
        <v>1613</v>
      </c>
      <c r="F53" s="14" t="s">
        <v>860</v>
      </c>
      <c r="G53" s="14" t="s">
        <v>861</v>
      </c>
      <c r="H53" s="14"/>
      <c r="I53" s="14">
        <v>4</v>
      </c>
      <c r="J53" s="14">
        <v>2</v>
      </c>
      <c r="K53" s="14" t="s">
        <v>1785</v>
      </c>
      <c r="L53" s="14" t="s">
        <v>1786</v>
      </c>
      <c r="M53" s="14" t="s">
        <v>1751</v>
      </c>
      <c r="N53" s="14">
        <v>0.79</v>
      </c>
    </row>
    <row r="54" spans="1:14" ht="45" customHeight="1">
      <c r="A54" s="13" t="s">
        <v>1839</v>
      </c>
      <c r="B54" s="13" t="s">
        <v>318</v>
      </c>
      <c r="C54" s="13" t="s">
        <v>1616</v>
      </c>
      <c r="D54" s="13" t="s">
        <v>471</v>
      </c>
      <c r="E54" s="13" t="s">
        <v>1613</v>
      </c>
      <c r="F54" s="13" t="s">
        <v>833</v>
      </c>
      <c r="G54" s="13" t="s">
        <v>834</v>
      </c>
      <c r="H54" s="13"/>
      <c r="I54" s="13">
        <v>3</v>
      </c>
      <c r="J54" s="13">
        <v>3</v>
      </c>
      <c r="K54" s="13" t="s">
        <v>1785</v>
      </c>
      <c r="L54" s="13" t="s">
        <v>1786</v>
      </c>
      <c r="M54" s="13" t="s">
        <v>1752</v>
      </c>
      <c r="N54" s="13">
        <v>0.75</v>
      </c>
    </row>
    <row r="55" spans="1:14" ht="45" customHeight="1">
      <c r="A55" s="14" t="s">
        <v>1840</v>
      </c>
      <c r="B55" s="14" t="s">
        <v>318</v>
      </c>
      <c r="C55" s="14" t="s">
        <v>1616</v>
      </c>
      <c r="D55" s="14" t="s">
        <v>471</v>
      </c>
      <c r="E55" s="14" t="s">
        <v>1613</v>
      </c>
      <c r="F55" s="14" t="s">
        <v>836</v>
      </c>
      <c r="G55" s="14" t="s">
        <v>837</v>
      </c>
      <c r="H55" s="14"/>
      <c r="I55" s="14">
        <v>4</v>
      </c>
      <c r="J55" s="14">
        <v>3</v>
      </c>
      <c r="K55" s="14" t="s">
        <v>1785</v>
      </c>
      <c r="L55" s="14" t="s">
        <v>1786</v>
      </c>
      <c r="M55" s="14" t="s">
        <v>1752</v>
      </c>
      <c r="N55" s="14">
        <v>0.82</v>
      </c>
    </row>
    <row r="56" spans="1:14" ht="45" customHeight="1">
      <c r="A56" s="13" t="s">
        <v>1841</v>
      </c>
      <c r="B56" s="13" t="s">
        <v>318</v>
      </c>
      <c r="C56" s="13" t="s">
        <v>1616</v>
      </c>
      <c r="D56" s="13" t="s">
        <v>471</v>
      </c>
      <c r="E56" s="13" t="s">
        <v>1613</v>
      </c>
      <c r="F56" s="13" t="s">
        <v>839</v>
      </c>
      <c r="G56" s="13" t="s">
        <v>840</v>
      </c>
      <c r="H56" s="13"/>
      <c r="I56" s="13">
        <v>3</v>
      </c>
      <c r="J56" s="13">
        <v>3</v>
      </c>
      <c r="K56" s="13" t="s">
        <v>1785</v>
      </c>
      <c r="L56" s="13" t="s">
        <v>1788</v>
      </c>
      <c r="M56" s="13" t="s">
        <v>1752</v>
      </c>
      <c r="N56" s="13">
        <v>0.85</v>
      </c>
    </row>
    <row r="57" spans="1:14" ht="45" customHeight="1">
      <c r="A57" s="14" t="s">
        <v>1842</v>
      </c>
      <c r="B57" s="14" t="s">
        <v>318</v>
      </c>
      <c r="C57" s="14" t="s">
        <v>1616</v>
      </c>
      <c r="D57" s="14" t="s">
        <v>471</v>
      </c>
      <c r="E57" s="14" t="s">
        <v>1613</v>
      </c>
      <c r="F57" s="14" t="s">
        <v>842</v>
      </c>
      <c r="G57" s="14" t="s">
        <v>843</v>
      </c>
      <c r="H57" s="14"/>
      <c r="I57" s="14">
        <v>4</v>
      </c>
      <c r="J57" s="14">
        <v>4</v>
      </c>
      <c r="K57" s="14" t="s">
        <v>1785</v>
      </c>
      <c r="L57" s="14" t="s">
        <v>1786</v>
      </c>
      <c r="M57" s="14" t="s">
        <v>1752</v>
      </c>
      <c r="N57" s="14">
        <v>0.87</v>
      </c>
    </row>
    <row r="58" spans="1:14" ht="45" customHeight="1">
      <c r="A58" s="13" t="s">
        <v>1843</v>
      </c>
      <c r="B58" s="13" t="s">
        <v>318</v>
      </c>
      <c r="C58" s="13" t="s">
        <v>1616</v>
      </c>
      <c r="D58" s="13" t="s">
        <v>471</v>
      </c>
      <c r="E58" s="13" t="s">
        <v>1613</v>
      </c>
      <c r="F58" s="13" t="s">
        <v>881</v>
      </c>
      <c r="G58" s="13" t="s">
        <v>629</v>
      </c>
      <c r="H58" s="13"/>
      <c r="I58" s="13">
        <v>3</v>
      </c>
      <c r="J58" s="13">
        <v>3</v>
      </c>
      <c r="K58" s="13" t="s">
        <v>1785</v>
      </c>
      <c r="L58" s="13" t="s">
        <v>1786</v>
      </c>
      <c r="M58" s="13" t="s">
        <v>1752</v>
      </c>
      <c r="N58" s="13">
        <v>0.78</v>
      </c>
    </row>
    <row r="59" spans="1:14" ht="45" customHeight="1">
      <c r="A59" s="14" t="s">
        <v>1844</v>
      </c>
      <c r="B59" s="14" t="s">
        <v>318</v>
      </c>
      <c r="C59" s="14" t="s">
        <v>1616</v>
      </c>
      <c r="D59" s="14" t="s">
        <v>471</v>
      </c>
      <c r="E59" s="14" t="s">
        <v>1613</v>
      </c>
      <c r="F59" s="14" t="s">
        <v>848</v>
      </c>
      <c r="G59" s="14" t="s">
        <v>849</v>
      </c>
      <c r="H59" s="14"/>
      <c r="I59" s="14">
        <v>4</v>
      </c>
      <c r="J59" s="14">
        <v>3</v>
      </c>
      <c r="K59" s="14" t="s">
        <v>1785</v>
      </c>
      <c r="L59" s="14" t="s">
        <v>1786</v>
      </c>
      <c r="M59" s="14" t="s">
        <v>1752</v>
      </c>
      <c r="N59" s="14">
        <v>0.92</v>
      </c>
    </row>
    <row r="60" spans="1:14" ht="45" customHeight="1">
      <c r="A60" s="13" t="s">
        <v>1845</v>
      </c>
      <c r="B60" s="13" t="s">
        <v>318</v>
      </c>
      <c r="C60" s="13" t="s">
        <v>1616</v>
      </c>
      <c r="D60" s="13" t="s">
        <v>471</v>
      </c>
      <c r="E60" s="13" t="s">
        <v>1613</v>
      </c>
      <c r="F60" s="13" t="s">
        <v>851</v>
      </c>
      <c r="G60" s="13" t="s">
        <v>852</v>
      </c>
      <c r="H60" s="13"/>
      <c r="I60" s="13">
        <v>4</v>
      </c>
      <c r="J60" s="13">
        <v>4</v>
      </c>
      <c r="K60" s="13" t="s">
        <v>1785</v>
      </c>
      <c r="L60" s="13" t="s">
        <v>1786</v>
      </c>
      <c r="M60" s="13" t="s">
        <v>1752</v>
      </c>
      <c r="N60" s="13">
        <v>0.82</v>
      </c>
    </row>
    <row r="61" spans="1:14" ht="45" customHeight="1">
      <c r="A61" s="14" t="s">
        <v>1846</v>
      </c>
      <c r="B61" s="14" t="s">
        <v>318</v>
      </c>
      <c r="C61" s="14" t="s">
        <v>1616</v>
      </c>
      <c r="D61" s="14" t="s">
        <v>471</v>
      </c>
      <c r="E61" s="14" t="s">
        <v>1613</v>
      </c>
      <c r="F61" s="14" t="s">
        <v>854</v>
      </c>
      <c r="G61" s="14" t="s">
        <v>855</v>
      </c>
      <c r="H61" s="14"/>
      <c r="I61" s="14">
        <v>4</v>
      </c>
      <c r="J61" s="14">
        <v>4</v>
      </c>
      <c r="K61" s="14" t="s">
        <v>1785</v>
      </c>
      <c r="L61" s="14" t="s">
        <v>1786</v>
      </c>
      <c r="M61" s="14" t="s">
        <v>1752</v>
      </c>
      <c r="N61" s="14">
        <v>0.83</v>
      </c>
    </row>
    <row r="62" spans="1:14" ht="45" customHeight="1">
      <c r="A62" s="13" t="s">
        <v>1847</v>
      </c>
      <c r="B62" s="13" t="s">
        <v>318</v>
      </c>
      <c r="C62" s="13" t="s">
        <v>1616</v>
      </c>
      <c r="D62" s="13" t="s">
        <v>471</v>
      </c>
      <c r="E62" s="13" t="s">
        <v>1613</v>
      </c>
      <c r="F62" s="13" t="s">
        <v>857</v>
      </c>
      <c r="G62" s="13" t="s">
        <v>858</v>
      </c>
      <c r="H62" s="13"/>
      <c r="I62" s="13">
        <v>4</v>
      </c>
      <c r="J62" s="13">
        <v>4</v>
      </c>
      <c r="K62" s="13" t="s">
        <v>1785</v>
      </c>
      <c r="L62" s="13" t="s">
        <v>1786</v>
      </c>
      <c r="M62" s="13" t="s">
        <v>1752</v>
      </c>
      <c r="N62" s="13">
        <v>0.74</v>
      </c>
    </row>
    <row r="63" spans="1:14" ht="45" customHeight="1">
      <c r="A63" s="14" t="s">
        <v>1848</v>
      </c>
      <c r="B63" s="14" t="s">
        <v>318</v>
      </c>
      <c r="C63" s="14" t="s">
        <v>1616</v>
      </c>
      <c r="D63" s="14" t="s">
        <v>471</v>
      </c>
      <c r="E63" s="14" t="s">
        <v>1613</v>
      </c>
      <c r="F63" s="14" t="s">
        <v>860</v>
      </c>
      <c r="G63" s="14" t="s">
        <v>861</v>
      </c>
      <c r="H63" s="14"/>
      <c r="I63" s="14">
        <v>4</v>
      </c>
      <c r="J63" s="14">
        <v>4</v>
      </c>
      <c r="K63" s="14" t="s">
        <v>1785</v>
      </c>
      <c r="L63" s="14" t="s">
        <v>1786</v>
      </c>
      <c r="M63" s="14" t="s">
        <v>1752</v>
      </c>
      <c r="N63" s="14">
        <v>0.85</v>
      </c>
    </row>
    <row r="64" spans="1:14" ht="45" customHeight="1">
      <c r="A64" s="13" t="s">
        <v>1849</v>
      </c>
      <c r="B64" s="13" t="s">
        <v>318</v>
      </c>
      <c r="C64" s="13" t="s">
        <v>1618</v>
      </c>
      <c r="D64" s="13" t="s">
        <v>471</v>
      </c>
      <c r="E64" s="13" t="s">
        <v>1613</v>
      </c>
      <c r="F64" s="13" t="s">
        <v>833</v>
      </c>
      <c r="G64" s="13" t="s">
        <v>834</v>
      </c>
      <c r="H64" s="13"/>
      <c r="I64" s="13">
        <v>3</v>
      </c>
      <c r="J64" s="13">
        <v>2</v>
      </c>
      <c r="K64" s="13" t="s">
        <v>1785</v>
      </c>
      <c r="L64" s="13" t="s">
        <v>1786</v>
      </c>
      <c r="M64" s="13" t="s">
        <v>1753</v>
      </c>
      <c r="N64" s="13">
        <v>0.74</v>
      </c>
    </row>
    <row r="65" spans="1:14" ht="45" customHeight="1">
      <c r="A65" s="14" t="s">
        <v>1850</v>
      </c>
      <c r="B65" s="14" t="s">
        <v>318</v>
      </c>
      <c r="C65" s="14" t="s">
        <v>1618</v>
      </c>
      <c r="D65" s="14" t="s">
        <v>471</v>
      </c>
      <c r="E65" s="14" t="s">
        <v>1613</v>
      </c>
      <c r="F65" s="14" t="s">
        <v>836</v>
      </c>
      <c r="G65" s="14" t="s">
        <v>837</v>
      </c>
      <c r="H65" s="14"/>
      <c r="I65" s="14">
        <v>4</v>
      </c>
      <c r="J65" s="14">
        <v>2</v>
      </c>
      <c r="K65" s="14" t="s">
        <v>1785</v>
      </c>
      <c r="L65" s="14" t="s">
        <v>1788</v>
      </c>
      <c r="M65" s="14" t="s">
        <v>1753</v>
      </c>
      <c r="N65" s="14">
        <v>0.69</v>
      </c>
    </row>
    <row r="66" spans="1:14" ht="45" customHeight="1">
      <c r="A66" s="13" t="s">
        <v>1851</v>
      </c>
      <c r="B66" s="13" t="s">
        <v>318</v>
      </c>
      <c r="C66" s="13" t="s">
        <v>1618</v>
      </c>
      <c r="D66" s="13" t="s">
        <v>471</v>
      </c>
      <c r="E66" s="13" t="s">
        <v>1613</v>
      </c>
      <c r="F66" s="13" t="s">
        <v>839</v>
      </c>
      <c r="G66" s="13" t="s">
        <v>840</v>
      </c>
      <c r="H66" s="13"/>
      <c r="I66" s="13">
        <v>3</v>
      </c>
      <c r="J66" s="13">
        <v>3</v>
      </c>
      <c r="K66" s="13" t="s">
        <v>1785</v>
      </c>
      <c r="L66" s="13" t="s">
        <v>1788</v>
      </c>
      <c r="M66" s="13" t="s">
        <v>1753</v>
      </c>
      <c r="N66" s="13">
        <v>0.79</v>
      </c>
    </row>
    <row r="67" spans="1:14" ht="45" customHeight="1">
      <c r="A67" s="14" t="s">
        <v>1852</v>
      </c>
      <c r="B67" s="14" t="s">
        <v>318</v>
      </c>
      <c r="C67" s="14" t="s">
        <v>1618</v>
      </c>
      <c r="D67" s="14" t="s">
        <v>471</v>
      </c>
      <c r="E67" s="14" t="s">
        <v>1613</v>
      </c>
      <c r="F67" s="14" t="s">
        <v>842</v>
      </c>
      <c r="G67" s="14" t="s">
        <v>843</v>
      </c>
      <c r="H67" s="14"/>
      <c r="I67" s="14">
        <v>4</v>
      </c>
      <c r="J67" s="14">
        <v>3</v>
      </c>
      <c r="K67" s="14" t="s">
        <v>1785</v>
      </c>
      <c r="L67" s="14" t="s">
        <v>1786</v>
      </c>
      <c r="M67" s="14" t="s">
        <v>1753</v>
      </c>
      <c r="N67" s="14">
        <v>0.81</v>
      </c>
    </row>
    <row r="68" spans="1:14" ht="45" customHeight="1">
      <c r="A68" s="13" t="s">
        <v>1853</v>
      </c>
      <c r="B68" s="13" t="s">
        <v>318</v>
      </c>
      <c r="C68" s="13" t="s">
        <v>1618</v>
      </c>
      <c r="D68" s="13" t="s">
        <v>471</v>
      </c>
      <c r="E68" s="13" t="s">
        <v>1613</v>
      </c>
      <c r="F68" s="13" t="s">
        <v>881</v>
      </c>
      <c r="G68" s="13" t="s">
        <v>629</v>
      </c>
      <c r="H68" s="13"/>
      <c r="I68" s="13">
        <v>3</v>
      </c>
      <c r="J68" s="13">
        <v>2</v>
      </c>
      <c r="K68" s="13" t="s">
        <v>1785</v>
      </c>
      <c r="L68" s="13" t="s">
        <v>1788</v>
      </c>
      <c r="M68" s="13" t="s">
        <v>1753</v>
      </c>
      <c r="N68" s="13">
        <v>0.88</v>
      </c>
    </row>
    <row r="69" spans="1:14" ht="45" customHeight="1">
      <c r="A69" s="14" t="s">
        <v>1854</v>
      </c>
      <c r="B69" s="14" t="s">
        <v>318</v>
      </c>
      <c r="C69" s="14" t="s">
        <v>1618</v>
      </c>
      <c r="D69" s="14" t="s">
        <v>471</v>
      </c>
      <c r="E69" s="14" t="s">
        <v>1613</v>
      </c>
      <c r="F69" s="14" t="s">
        <v>848</v>
      </c>
      <c r="G69" s="14" t="s">
        <v>849</v>
      </c>
      <c r="H69" s="14"/>
      <c r="I69" s="14">
        <v>4</v>
      </c>
      <c r="J69" s="14">
        <v>2</v>
      </c>
      <c r="K69" s="14" t="s">
        <v>1785</v>
      </c>
      <c r="L69" s="14" t="s">
        <v>1786</v>
      </c>
      <c r="M69" s="14" t="s">
        <v>1753</v>
      </c>
      <c r="N69" s="14">
        <v>0.86</v>
      </c>
    </row>
    <row r="70" spans="1:14" ht="45" customHeight="1">
      <c r="A70" s="13" t="s">
        <v>1855</v>
      </c>
      <c r="B70" s="13" t="s">
        <v>318</v>
      </c>
      <c r="C70" s="13" t="s">
        <v>1618</v>
      </c>
      <c r="D70" s="13" t="s">
        <v>471</v>
      </c>
      <c r="E70" s="13" t="s">
        <v>1613</v>
      </c>
      <c r="F70" s="13" t="s">
        <v>851</v>
      </c>
      <c r="G70" s="13" t="s">
        <v>852</v>
      </c>
      <c r="H70" s="13"/>
      <c r="I70" s="13">
        <v>4</v>
      </c>
      <c r="J70" s="13">
        <v>1</v>
      </c>
      <c r="K70" s="13" t="s">
        <v>1785</v>
      </c>
      <c r="L70" s="13" t="s">
        <v>1786</v>
      </c>
      <c r="M70" s="13" t="s">
        <v>1753</v>
      </c>
      <c r="N70" s="13">
        <v>0.71</v>
      </c>
    </row>
    <row r="71" spans="1:14" ht="45" customHeight="1">
      <c r="A71" s="14" t="s">
        <v>1856</v>
      </c>
      <c r="B71" s="14" t="s">
        <v>318</v>
      </c>
      <c r="C71" s="14" t="s">
        <v>1618</v>
      </c>
      <c r="D71" s="14" t="s">
        <v>471</v>
      </c>
      <c r="E71" s="14" t="s">
        <v>1613</v>
      </c>
      <c r="F71" s="14" t="s">
        <v>854</v>
      </c>
      <c r="G71" s="14" t="s">
        <v>855</v>
      </c>
      <c r="H71" s="14"/>
      <c r="I71" s="14">
        <v>4</v>
      </c>
      <c r="J71" s="14">
        <v>2</v>
      </c>
      <c r="K71" s="14" t="s">
        <v>1785</v>
      </c>
      <c r="L71" s="14" t="s">
        <v>1786</v>
      </c>
      <c r="M71" s="14" t="s">
        <v>1753</v>
      </c>
      <c r="N71" s="14">
        <v>0.83</v>
      </c>
    </row>
    <row r="72" spans="1:14" ht="45" customHeight="1">
      <c r="A72" s="13" t="s">
        <v>1857</v>
      </c>
      <c r="B72" s="13" t="s">
        <v>318</v>
      </c>
      <c r="C72" s="13" t="s">
        <v>1618</v>
      </c>
      <c r="D72" s="13" t="s">
        <v>471</v>
      </c>
      <c r="E72" s="13" t="s">
        <v>1613</v>
      </c>
      <c r="F72" s="13" t="s">
        <v>857</v>
      </c>
      <c r="G72" s="13" t="s">
        <v>858</v>
      </c>
      <c r="H72" s="13"/>
      <c r="I72" s="13">
        <v>4</v>
      </c>
      <c r="J72" s="13">
        <v>3</v>
      </c>
      <c r="K72" s="13" t="s">
        <v>1785</v>
      </c>
      <c r="L72" s="13" t="s">
        <v>1786</v>
      </c>
      <c r="M72" s="13" t="s">
        <v>1753</v>
      </c>
      <c r="N72" s="13">
        <v>0.79</v>
      </c>
    </row>
    <row r="73" spans="1:14" ht="45" customHeight="1">
      <c r="A73" s="14" t="s">
        <v>1858</v>
      </c>
      <c r="B73" s="14" t="s">
        <v>318</v>
      </c>
      <c r="C73" s="14" t="s">
        <v>1618</v>
      </c>
      <c r="D73" s="14" t="s">
        <v>471</v>
      </c>
      <c r="E73" s="14" t="s">
        <v>1613</v>
      </c>
      <c r="F73" s="14" t="s">
        <v>860</v>
      </c>
      <c r="G73" s="14" t="s">
        <v>861</v>
      </c>
      <c r="H73" s="14"/>
      <c r="I73" s="14">
        <v>4</v>
      </c>
      <c r="J73" s="14">
        <v>2</v>
      </c>
      <c r="K73" s="14" t="s">
        <v>1785</v>
      </c>
      <c r="L73" s="14" t="s">
        <v>1786</v>
      </c>
      <c r="M73" s="14" t="s">
        <v>1753</v>
      </c>
      <c r="N73" s="14">
        <v>0.8</v>
      </c>
    </row>
    <row r="74" spans="1:14" ht="45" customHeight="1">
      <c r="A74" s="13" t="s">
        <v>1859</v>
      </c>
      <c r="B74" s="13" t="s">
        <v>318</v>
      </c>
      <c r="C74" s="13" t="s">
        <v>1620</v>
      </c>
      <c r="D74" s="13" t="s">
        <v>471</v>
      </c>
      <c r="E74" s="13" t="s">
        <v>1613</v>
      </c>
      <c r="F74" s="13" t="s">
        <v>833</v>
      </c>
      <c r="G74" s="13" t="s">
        <v>834</v>
      </c>
      <c r="H74" s="13"/>
      <c r="I74" s="13">
        <v>3</v>
      </c>
      <c r="J74" s="13"/>
      <c r="K74" s="13" t="s">
        <v>1808</v>
      </c>
      <c r="L74" s="13" t="s">
        <v>1809</v>
      </c>
      <c r="M74" s="13" t="s">
        <v>1754</v>
      </c>
      <c r="N74" s="13"/>
    </row>
    <row r="75" spans="1:14" ht="45" customHeight="1">
      <c r="A75" s="14" t="s">
        <v>1860</v>
      </c>
      <c r="B75" s="14" t="s">
        <v>318</v>
      </c>
      <c r="C75" s="14" t="s">
        <v>1620</v>
      </c>
      <c r="D75" s="14" t="s">
        <v>471</v>
      </c>
      <c r="E75" s="14" t="s">
        <v>1613</v>
      </c>
      <c r="F75" s="14" t="s">
        <v>836</v>
      </c>
      <c r="G75" s="14" t="s">
        <v>837</v>
      </c>
      <c r="H75" s="14"/>
      <c r="I75" s="14">
        <v>4</v>
      </c>
      <c r="J75" s="14"/>
      <c r="K75" s="14" t="s">
        <v>1808</v>
      </c>
      <c r="L75" s="14" t="s">
        <v>1809</v>
      </c>
      <c r="M75" s="14" t="s">
        <v>1754</v>
      </c>
      <c r="N75" s="14"/>
    </row>
    <row r="76" spans="1:14" ht="45" customHeight="1">
      <c r="A76" s="13" t="s">
        <v>1861</v>
      </c>
      <c r="B76" s="13" t="s">
        <v>318</v>
      </c>
      <c r="C76" s="13" t="s">
        <v>1620</v>
      </c>
      <c r="D76" s="13" t="s">
        <v>471</v>
      </c>
      <c r="E76" s="13" t="s">
        <v>1613</v>
      </c>
      <c r="F76" s="13" t="s">
        <v>839</v>
      </c>
      <c r="G76" s="13" t="s">
        <v>840</v>
      </c>
      <c r="H76" s="13"/>
      <c r="I76" s="13">
        <v>3</v>
      </c>
      <c r="J76" s="13"/>
      <c r="K76" s="13" t="s">
        <v>1808</v>
      </c>
      <c r="L76" s="13" t="s">
        <v>1809</v>
      </c>
      <c r="M76" s="13" t="s">
        <v>1754</v>
      </c>
      <c r="N76" s="13"/>
    </row>
    <row r="77" spans="1:14" ht="45" customHeight="1">
      <c r="A77" s="14" t="s">
        <v>1862</v>
      </c>
      <c r="B77" s="14" t="s">
        <v>318</v>
      </c>
      <c r="C77" s="14" t="s">
        <v>1620</v>
      </c>
      <c r="D77" s="14" t="s">
        <v>471</v>
      </c>
      <c r="E77" s="14" t="s">
        <v>1613</v>
      </c>
      <c r="F77" s="14" t="s">
        <v>842</v>
      </c>
      <c r="G77" s="14" t="s">
        <v>843</v>
      </c>
      <c r="H77" s="14"/>
      <c r="I77" s="14">
        <v>4</v>
      </c>
      <c r="J77" s="14"/>
      <c r="K77" s="14" t="s">
        <v>1808</v>
      </c>
      <c r="L77" s="14" t="s">
        <v>1809</v>
      </c>
      <c r="M77" s="14" t="s">
        <v>1754</v>
      </c>
      <c r="N77" s="14"/>
    </row>
    <row r="78" spans="1:14" ht="45" customHeight="1">
      <c r="A78" s="13" t="s">
        <v>1863</v>
      </c>
      <c r="B78" s="13" t="s">
        <v>318</v>
      </c>
      <c r="C78" s="13" t="s">
        <v>1620</v>
      </c>
      <c r="D78" s="13" t="s">
        <v>471</v>
      </c>
      <c r="E78" s="13" t="s">
        <v>1613</v>
      </c>
      <c r="F78" s="13" t="s">
        <v>881</v>
      </c>
      <c r="G78" s="13" t="s">
        <v>629</v>
      </c>
      <c r="H78" s="13"/>
      <c r="I78" s="13">
        <v>3</v>
      </c>
      <c r="J78" s="13"/>
      <c r="K78" s="13" t="s">
        <v>1808</v>
      </c>
      <c r="L78" s="13" t="s">
        <v>1809</v>
      </c>
      <c r="M78" s="13" t="s">
        <v>1754</v>
      </c>
      <c r="N78" s="13"/>
    </row>
    <row r="79" spans="1:14" ht="45" customHeight="1">
      <c r="A79" s="14" t="s">
        <v>1864</v>
      </c>
      <c r="B79" s="14" t="s">
        <v>318</v>
      </c>
      <c r="C79" s="14" t="s">
        <v>1620</v>
      </c>
      <c r="D79" s="14" t="s">
        <v>471</v>
      </c>
      <c r="E79" s="14" t="s">
        <v>1613</v>
      </c>
      <c r="F79" s="14" t="s">
        <v>848</v>
      </c>
      <c r="G79" s="14" t="s">
        <v>849</v>
      </c>
      <c r="H79" s="14"/>
      <c r="I79" s="14">
        <v>4</v>
      </c>
      <c r="J79" s="14"/>
      <c r="K79" s="14" t="s">
        <v>1808</v>
      </c>
      <c r="L79" s="14" t="s">
        <v>1809</v>
      </c>
      <c r="M79" s="14" t="s">
        <v>1754</v>
      </c>
      <c r="N79" s="14"/>
    </row>
    <row r="80" spans="1:14" ht="45" customHeight="1">
      <c r="A80" s="13" t="s">
        <v>1865</v>
      </c>
      <c r="B80" s="13" t="s">
        <v>318</v>
      </c>
      <c r="C80" s="13" t="s">
        <v>1620</v>
      </c>
      <c r="D80" s="13" t="s">
        <v>471</v>
      </c>
      <c r="E80" s="13" t="s">
        <v>1613</v>
      </c>
      <c r="F80" s="13" t="s">
        <v>851</v>
      </c>
      <c r="G80" s="13" t="s">
        <v>852</v>
      </c>
      <c r="H80" s="13"/>
      <c r="I80" s="13">
        <v>4</v>
      </c>
      <c r="J80" s="13"/>
      <c r="K80" s="13" t="s">
        <v>1808</v>
      </c>
      <c r="L80" s="13" t="s">
        <v>1809</v>
      </c>
      <c r="M80" s="13" t="s">
        <v>1754</v>
      </c>
      <c r="N80" s="13"/>
    </row>
    <row r="81" spans="1:14" ht="45" customHeight="1">
      <c r="A81" s="14" t="s">
        <v>1866</v>
      </c>
      <c r="B81" s="14" t="s">
        <v>318</v>
      </c>
      <c r="C81" s="14" t="s">
        <v>1620</v>
      </c>
      <c r="D81" s="14" t="s">
        <v>471</v>
      </c>
      <c r="E81" s="14" t="s">
        <v>1613</v>
      </c>
      <c r="F81" s="14" t="s">
        <v>854</v>
      </c>
      <c r="G81" s="14" t="s">
        <v>855</v>
      </c>
      <c r="H81" s="14"/>
      <c r="I81" s="14">
        <v>4</v>
      </c>
      <c r="J81" s="14"/>
      <c r="K81" s="14" t="s">
        <v>1808</v>
      </c>
      <c r="L81" s="14" t="s">
        <v>1809</v>
      </c>
      <c r="M81" s="14" t="s">
        <v>1754</v>
      </c>
      <c r="N81" s="14"/>
    </row>
    <row r="82" spans="1:14" ht="45" customHeight="1">
      <c r="A82" s="13" t="s">
        <v>1867</v>
      </c>
      <c r="B82" s="13" t="s">
        <v>318</v>
      </c>
      <c r="C82" s="13" t="s">
        <v>1620</v>
      </c>
      <c r="D82" s="13" t="s">
        <v>471</v>
      </c>
      <c r="E82" s="13" t="s">
        <v>1613</v>
      </c>
      <c r="F82" s="13" t="s">
        <v>857</v>
      </c>
      <c r="G82" s="13" t="s">
        <v>858</v>
      </c>
      <c r="H82" s="13"/>
      <c r="I82" s="13">
        <v>4</v>
      </c>
      <c r="J82" s="13"/>
      <c r="K82" s="13" t="s">
        <v>1808</v>
      </c>
      <c r="L82" s="13" t="s">
        <v>1809</v>
      </c>
      <c r="M82" s="13" t="s">
        <v>1754</v>
      </c>
      <c r="N82" s="13"/>
    </row>
    <row r="83" spans="1:14" ht="45" customHeight="1">
      <c r="A83" s="14" t="s">
        <v>1868</v>
      </c>
      <c r="B83" s="14" t="s">
        <v>318</v>
      </c>
      <c r="C83" s="14" t="s">
        <v>1620</v>
      </c>
      <c r="D83" s="14" t="s">
        <v>471</v>
      </c>
      <c r="E83" s="14" t="s">
        <v>1613</v>
      </c>
      <c r="F83" s="14" t="s">
        <v>860</v>
      </c>
      <c r="G83" s="14" t="s">
        <v>861</v>
      </c>
      <c r="H83" s="14"/>
      <c r="I83" s="14">
        <v>4</v>
      </c>
      <c r="J83" s="14"/>
      <c r="K83" s="14" t="s">
        <v>1808</v>
      </c>
      <c r="L83" s="14" t="s">
        <v>1809</v>
      </c>
      <c r="M83" s="14" t="s">
        <v>1754</v>
      </c>
      <c r="N83" s="14"/>
    </row>
    <row r="84" spans="1:14" ht="45" customHeight="1">
      <c r="A84" s="13" t="s">
        <v>1869</v>
      </c>
      <c r="B84" s="13" t="s">
        <v>318</v>
      </c>
      <c r="C84" s="13" t="s">
        <v>1622</v>
      </c>
      <c r="D84" s="13" t="s">
        <v>475</v>
      </c>
      <c r="E84" s="13" t="s">
        <v>1624</v>
      </c>
      <c r="F84" s="13" t="s">
        <v>833</v>
      </c>
      <c r="G84" s="13" t="s">
        <v>834</v>
      </c>
      <c r="H84" s="13"/>
      <c r="I84" s="13">
        <v>3</v>
      </c>
      <c r="J84" s="13">
        <v>2</v>
      </c>
      <c r="K84" s="13" t="s">
        <v>1785</v>
      </c>
      <c r="L84" s="13" t="s">
        <v>1786</v>
      </c>
      <c r="M84" s="13" t="s">
        <v>1755</v>
      </c>
      <c r="N84" s="13">
        <v>0.88</v>
      </c>
    </row>
    <row r="85" spans="1:14" ht="45" customHeight="1">
      <c r="A85" s="14" t="s">
        <v>1870</v>
      </c>
      <c r="B85" s="14" t="s">
        <v>318</v>
      </c>
      <c r="C85" s="14" t="s">
        <v>1622</v>
      </c>
      <c r="D85" s="14" t="s">
        <v>475</v>
      </c>
      <c r="E85" s="14" t="s">
        <v>1624</v>
      </c>
      <c r="F85" s="14" t="s">
        <v>836</v>
      </c>
      <c r="G85" s="14" t="s">
        <v>837</v>
      </c>
      <c r="H85" s="14"/>
      <c r="I85" s="14">
        <v>4</v>
      </c>
      <c r="J85" s="14">
        <v>2</v>
      </c>
      <c r="K85" s="14" t="s">
        <v>1785</v>
      </c>
      <c r="L85" s="14" t="s">
        <v>1788</v>
      </c>
      <c r="M85" s="14" t="s">
        <v>1755</v>
      </c>
      <c r="N85" s="14">
        <v>0.75</v>
      </c>
    </row>
    <row r="86" spans="1:14" ht="45" customHeight="1">
      <c r="A86" s="13" t="s">
        <v>1871</v>
      </c>
      <c r="B86" s="13" t="s">
        <v>318</v>
      </c>
      <c r="C86" s="13" t="s">
        <v>1622</v>
      </c>
      <c r="D86" s="13" t="s">
        <v>475</v>
      </c>
      <c r="E86" s="13" t="s">
        <v>1624</v>
      </c>
      <c r="F86" s="13" t="s">
        <v>842</v>
      </c>
      <c r="G86" s="13" t="s">
        <v>843</v>
      </c>
      <c r="H86" s="13"/>
      <c r="I86" s="13">
        <v>4</v>
      </c>
      <c r="J86" s="13">
        <v>2</v>
      </c>
      <c r="K86" s="13" t="s">
        <v>1785</v>
      </c>
      <c r="L86" s="13" t="s">
        <v>1786</v>
      </c>
      <c r="M86" s="13" t="s">
        <v>1755</v>
      </c>
      <c r="N86" s="13">
        <v>0.72</v>
      </c>
    </row>
    <row r="87" spans="1:14" ht="45" customHeight="1">
      <c r="A87" s="14" t="s">
        <v>1872</v>
      </c>
      <c r="B87" s="14" t="s">
        <v>318</v>
      </c>
      <c r="C87" s="14" t="s">
        <v>1622</v>
      </c>
      <c r="D87" s="14" t="s">
        <v>475</v>
      </c>
      <c r="E87" s="14" t="s">
        <v>1624</v>
      </c>
      <c r="F87" s="14" t="s">
        <v>866</v>
      </c>
      <c r="G87" s="14" t="s">
        <v>867</v>
      </c>
      <c r="H87" s="14"/>
      <c r="I87" s="14">
        <v>4</v>
      </c>
      <c r="J87" s="14">
        <v>2</v>
      </c>
      <c r="K87" s="14" t="s">
        <v>1785</v>
      </c>
      <c r="L87" s="14" t="s">
        <v>1786</v>
      </c>
      <c r="M87" s="14" t="s">
        <v>1755</v>
      </c>
      <c r="N87" s="14">
        <v>0.7</v>
      </c>
    </row>
    <row r="88" spans="1:14" ht="45" customHeight="1">
      <c r="A88" s="13" t="s">
        <v>1873</v>
      </c>
      <c r="B88" s="13" t="s">
        <v>318</v>
      </c>
      <c r="C88" s="13" t="s">
        <v>1622</v>
      </c>
      <c r="D88" s="13" t="s">
        <v>475</v>
      </c>
      <c r="E88" s="13" t="s">
        <v>1624</v>
      </c>
      <c r="F88" s="13" t="s">
        <v>869</v>
      </c>
      <c r="G88" s="13" t="s">
        <v>870</v>
      </c>
      <c r="H88" s="13"/>
      <c r="I88" s="13">
        <v>4</v>
      </c>
      <c r="J88" s="13">
        <v>2</v>
      </c>
      <c r="K88" s="13" t="s">
        <v>1785</v>
      </c>
      <c r="L88" s="13" t="s">
        <v>1786</v>
      </c>
      <c r="M88" s="13" t="s">
        <v>1755</v>
      </c>
      <c r="N88" s="13">
        <v>0.73</v>
      </c>
    </row>
    <row r="89" spans="1:14" ht="45" customHeight="1">
      <c r="A89" s="14" t="s">
        <v>1874</v>
      </c>
      <c r="B89" s="14" t="s">
        <v>318</v>
      </c>
      <c r="C89" s="14" t="s">
        <v>1622</v>
      </c>
      <c r="D89" s="14" t="s">
        <v>475</v>
      </c>
      <c r="E89" s="14" t="s">
        <v>1624</v>
      </c>
      <c r="F89" s="14" t="s">
        <v>848</v>
      </c>
      <c r="G89" s="14" t="s">
        <v>849</v>
      </c>
      <c r="H89" s="14"/>
      <c r="I89" s="14">
        <v>4</v>
      </c>
      <c r="J89" s="14">
        <v>2</v>
      </c>
      <c r="K89" s="14" t="s">
        <v>1785</v>
      </c>
      <c r="L89" s="14" t="s">
        <v>1786</v>
      </c>
      <c r="M89" s="14" t="s">
        <v>1755</v>
      </c>
      <c r="N89" s="14">
        <v>0.86</v>
      </c>
    </row>
    <row r="90" spans="1:14" ht="45" customHeight="1">
      <c r="A90" s="13" t="s">
        <v>1875</v>
      </c>
      <c r="B90" s="13" t="s">
        <v>318</v>
      </c>
      <c r="C90" s="13" t="s">
        <v>1622</v>
      </c>
      <c r="D90" s="13" t="s">
        <v>475</v>
      </c>
      <c r="E90" s="13" t="s">
        <v>1624</v>
      </c>
      <c r="F90" s="13" t="s">
        <v>851</v>
      </c>
      <c r="G90" s="13" t="s">
        <v>852</v>
      </c>
      <c r="H90" s="13"/>
      <c r="I90" s="13">
        <v>4</v>
      </c>
      <c r="J90" s="13">
        <v>2</v>
      </c>
      <c r="K90" s="13" t="s">
        <v>1785</v>
      </c>
      <c r="L90" s="13" t="s">
        <v>1786</v>
      </c>
      <c r="M90" s="13" t="s">
        <v>1755</v>
      </c>
      <c r="N90" s="13">
        <v>0.76</v>
      </c>
    </row>
    <row r="91" spans="1:14" ht="45" customHeight="1">
      <c r="A91" s="14" t="s">
        <v>1876</v>
      </c>
      <c r="B91" s="14" t="s">
        <v>318</v>
      </c>
      <c r="C91" s="14" t="s">
        <v>1622</v>
      </c>
      <c r="D91" s="14" t="s">
        <v>475</v>
      </c>
      <c r="E91" s="14" t="s">
        <v>1624</v>
      </c>
      <c r="F91" s="14" t="s">
        <v>854</v>
      </c>
      <c r="G91" s="14" t="s">
        <v>855</v>
      </c>
      <c r="H91" s="14"/>
      <c r="I91" s="14">
        <v>4</v>
      </c>
      <c r="J91" s="14">
        <v>2</v>
      </c>
      <c r="K91" s="14" t="s">
        <v>1785</v>
      </c>
      <c r="L91" s="14" t="s">
        <v>1786</v>
      </c>
      <c r="M91" s="14" t="s">
        <v>1755</v>
      </c>
      <c r="N91" s="14">
        <v>0.89</v>
      </c>
    </row>
    <row r="92" spans="1:14" ht="45" customHeight="1">
      <c r="A92" s="13" t="s">
        <v>1877</v>
      </c>
      <c r="B92" s="13" t="s">
        <v>318</v>
      </c>
      <c r="C92" s="13" t="s">
        <v>1622</v>
      </c>
      <c r="D92" s="13" t="s">
        <v>475</v>
      </c>
      <c r="E92" s="13" t="s">
        <v>1624</v>
      </c>
      <c r="F92" s="13" t="s">
        <v>857</v>
      </c>
      <c r="G92" s="13" t="s">
        <v>858</v>
      </c>
      <c r="H92" s="13"/>
      <c r="I92" s="13">
        <v>4</v>
      </c>
      <c r="J92" s="13">
        <v>2</v>
      </c>
      <c r="K92" s="13" t="s">
        <v>1785</v>
      </c>
      <c r="L92" s="13" t="s">
        <v>1786</v>
      </c>
      <c r="M92" s="13" t="s">
        <v>1755</v>
      </c>
      <c r="N92" s="13">
        <v>0.69</v>
      </c>
    </row>
    <row r="93" spans="1:14" ht="45" customHeight="1">
      <c r="A93" s="14" t="s">
        <v>1878</v>
      </c>
      <c r="B93" s="14" t="s">
        <v>318</v>
      </c>
      <c r="C93" s="14" t="s">
        <v>1622</v>
      </c>
      <c r="D93" s="14" t="s">
        <v>475</v>
      </c>
      <c r="E93" s="14" t="s">
        <v>1624</v>
      </c>
      <c r="F93" s="14" t="s">
        <v>860</v>
      </c>
      <c r="G93" s="14" t="s">
        <v>861</v>
      </c>
      <c r="H93" s="14"/>
      <c r="I93" s="14">
        <v>4</v>
      </c>
      <c r="J93" s="14">
        <v>2</v>
      </c>
      <c r="K93" s="14" t="s">
        <v>1785</v>
      </c>
      <c r="L93" s="14" t="s">
        <v>1786</v>
      </c>
      <c r="M93" s="14" t="s">
        <v>1755</v>
      </c>
      <c r="N93" s="14">
        <v>0.92</v>
      </c>
    </row>
    <row r="94" spans="1:14" ht="45" customHeight="1">
      <c r="A94" s="13" t="s">
        <v>1879</v>
      </c>
      <c r="B94" s="13" t="s">
        <v>318</v>
      </c>
      <c r="C94" s="13" t="s">
        <v>1627</v>
      </c>
      <c r="D94" s="13" t="s">
        <v>475</v>
      </c>
      <c r="E94" s="13" t="s">
        <v>1624</v>
      </c>
      <c r="F94" s="13" t="s">
        <v>833</v>
      </c>
      <c r="G94" s="13" t="s">
        <v>834</v>
      </c>
      <c r="H94" s="13"/>
      <c r="I94" s="13">
        <v>3</v>
      </c>
      <c r="J94" s="13"/>
      <c r="K94" s="13" t="s">
        <v>1808</v>
      </c>
      <c r="L94" s="13" t="s">
        <v>1809</v>
      </c>
      <c r="M94" s="13" t="s">
        <v>1756</v>
      </c>
      <c r="N94" s="13"/>
    </row>
    <row r="95" spans="1:14" ht="45" customHeight="1">
      <c r="A95" s="14" t="s">
        <v>1880</v>
      </c>
      <c r="B95" s="14" t="s">
        <v>318</v>
      </c>
      <c r="C95" s="14" t="s">
        <v>1627</v>
      </c>
      <c r="D95" s="14" t="s">
        <v>475</v>
      </c>
      <c r="E95" s="14" t="s">
        <v>1624</v>
      </c>
      <c r="F95" s="14" t="s">
        <v>836</v>
      </c>
      <c r="G95" s="14" t="s">
        <v>837</v>
      </c>
      <c r="H95" s="14"/>
      <c r="I95" s="14">
        <v>4</v>
      </c>
      <c r="J95" s="14"/>
      <c r="K95" s="14" t="s">
        <v>1808</v>
      </c>
      <c r="L95" s="14" t="s">
        <v>1809</v>
      </c>
      <c r="M95" s="14" t="s">
        <v>1756</v>
      </c>
      <c r="N95" s="14"/>
    </row>
    <row r="96" spans="1:14" ht="45" customHeight="1">
      <c r="A96" s="13" t="s">
        <v>1881</v>
      </c>
      <c r="B96" s="13" t="s">
        <v>318</v>
      </c>
      <c r="C96" s="13" t="s">
        <v>1627</v>
      </c>
      <c r="D96" s="13" t="s">
        <v>475</v>
      </c>
      <c r="E96" s="13" t="s">
        <v>1624</v>
      </c>
      <c r="F96" s="13" t="s">
        <v>842</v>
      </c>
      <c r="G96" s="13" t="s">
        <v>843</v>
      </c>
      <c r="H96" s="13"/>
      <c r="I96" s="13">
        <v>4</v>
      </c>
      <c r="J96" s="13"/>
      <c r="K96" s="13" t="s">
        <v>1808</v>
      </c>
      <c r="L96" s="13" t="s">
        <v>1809</v>
      </c>
      <c r="M96" s="13" t="s">
        <v>1756</v>
      </c>
      <c r="N96" s="13"/>
    </row>
    <row r="97" spans="1:14" ht="45" customHeight="1">
      <c r="A97" s="14" t="s">
        <v>1882</v>
      </c>
      <c r="B97" s="14" t="s">
        <v>318</v>
      </c>
      <c r="C97" s="14" t="s">
        <v>1627</v>
      </c>
      <c r="D97" s="14" t="s">
        <v>475</v>
      </c>
      <c r="E97" s="14" t="s">
        <v>1624</v>
      </c>
      <c r="F97" s="14" t="s">
        <v>866</v>
      </c>
      <c r="G97" s="14" t="s">
        <v>867</v>
      </c>
      <c r="H97" s="14"/>
      <c r="I97" s="14">
        <v>4</v>
      </c>
      <c r="J97" s="14"/>
      <c r="K97" s="14" t="s">
        <v>1808</v>
      </c>
      <c r="L97" s="14" t="s">
        <v>1809</v>
      </c>
      <c r="M97" s="14" t="s">
        <v>1756</v>
      </c>
      <c r="N97" s="14"/>
    </row>
    <row r="98" spans="1:14" ht="45" customHeight="1">
      <c r="A98" s="13" t="s">
        <v>1883</v>
      </c>
      <c r="B98" s="13" t="s">
        <v>318</v>
      </c>
      <c r="C98" s="13" t="s">
        <v>1627</v>
      </c>
      <c r="D98" s="13" t="s">
        <v>475</v>
      </c>
      <c r="E98" s="13" t="s">
        <v>1624</v>
      </c>
      <c r="F98" s="13" t="s">
        <v>869</v>
      </c>
      <c r="G98" s="13" t="s">
        <v>870</v>
      </c>
      <c r="H98" s="13"/>
      <c r="I98" s="13">
        <v>4</v>
      </c>
      <c r="J98" s="13"/>
      <c r="K98" s="13" t="s">
        <v>1808</v>
      </c>
      <c r="L98" s="13" t="s">
        <v>1809</v>
      </c>
      <c r="M98" s="13" t="s">
        <v>1756</v>
      </c>
      <c r="N98" s="13"/>
    </row>
    <row r="99" spans="1:14" ht="45" customHeight="1">
      <c r="A99" s="14" t="s">
        <v>1884</v>
      </c>
      <c r="B99" s="14" t="s">
        <v>318</v>
      </c>
      <c r="C99" s="14" t="s">
        <v>1627</v>
      </c>
      <c r="D99" s="14" t="s">
        <v>475</v>
      </c>
      <c r="E99" s="14" t="s">
        <v>1624</v>
      </c>
      <c r="F99" s="14" t="s">
        <v>848</v>
      </c>
      <c r="G99" s="14" t="s">
        <v>849</v>
      </c>
      <c r="H99" s="14"/>
      <c r="I99" s="14">
        <v>4</v>
      </c>
      <c r="J99" s="14"/>
      <c r="K99" s="14" t="s">
        <v>1808</v>
      </c>
      <c r="L99" s="14" t="s">
        <v>1809</v>
      </c>
      <c r="M99" s="14" t="s">
        <v>1756</v>
      </c>
      <c r="N99" s="14"/>
    </row>
    <row r="100" spans="1:14" ht="45" customHeight="1">
      <c r="A100" s="13" t="s">
        <v>1885</v>
      </c>
      <c r="B100" s="13" t="s">
        <v>318</v>
      </c>
      <c r="C100" s="13" t="s">
        <v>1627</v>
      </c>
      <c r="D100" s="13" t="s">
        <v>475</v>
      </c>
      <c r="E100" s="13" t="s">
        <v>1624</v>
      </c>
      <c r="F100" s="13" t="s">
        <v>851</v>
      </c>
      <c r="G100" s="13" t="s">
        <v>852</v>
      </c>
      <c r="H100" s="13"/>
      <c r="I100" s="13">
        <v>4</v>
      </c>
      <c r="J100" s="13"/>
      <c r="K100" s="13" t="s">
        <v>1808</v>
      </c>
      <c r="L100" s="13" t="s">
        <v>1809</v>
      </c>
      <c r="M100" s="13" t="s">
        <v>1756</v>
      </c>
      <c r="N100" s="13"/>
    </row>
    <row r="101" spans="1:14" ht="45" customHeight="1">
      <c r="A101" s="14" t="s">
        <v>1886</v>
      </c>
      <c r="B101" s="14" t="s">
        <v>318</v>
      </c>
      <c r="C101" s="14" t="s">
        <v>1627</v>
      </c>
      <c r="D101" s="14" t="s">
        <v>475</v>
      </c>
      <c r="E101" s="14" t="s">
        <v>1624</v>
      </c>
      <c r="F101" s="14" t="s">
        <v>854</v>
      </c>
      <c r="G101" s="14" t="s">
        <v>855</v>
      </c>
      <c r="H101" s="14"/>
      <c r="I101" s="14">
        <v>4</v>
      </c>
      <c r="J101" s="14"/>
      <c r="K101" s="14" t="s">
        <v>1808</v>
      </c>
      <c r="L101" s="14" t="s">
        <v>1809</v>
      </c>
      <c r="M101" s="14" t="s">
        <v>1756</v>
      </c>
      <c r="N101" s="14"/>
    </row>
    <row r="102" spans="1:14" ht="45" customHeight="1">
      <c r="A102" s="13" t="s">
        <v>1887</v>
      </c>
      <c r="B102" s="13" t="s">
        <v>318</v>
      </c>
      <c r="C102" s="13" t="s">
        <v>1627</v>
      </c>
      <c r="D102" s="13" t="s">
        <v>475</v>
      </c>
      <c r="E102" s="13" t="s">
        <v>1624</v>
      </c>
      <c r="F102" s="13" t="s">
        <v>857</v>
      </c>
      <c r="G102" s="13" t="s">
        <v>858</v>
      </c>
      <c r="H102" s="13"/>
      <c r="I102" s="13">
        <v>4</v>
      </c>
      <c r="J102" s="13"/>
      <c r="K102" s="13" t="s">
        <v>1808</v>
      </c>
      <c r="L102" s="13" t="s">
        <v>1809</v>
      </c>
      <c r="M102" s="13" t="s">
        <v>1756</v>
      </c>
      <c r="N102" s="13"/>
    </row>
    <row r="103" spans="1:14" ht="45" customHeight="1">
      <c r="A103" s="14" t="s">
        <v>1888</v>
      </c>
      <c r="B103" s="14" t="s">
        <v>318</v>
      </c>
      <c r="C103" s="14" t="s">
        <v>1627</v>
      </c>
      <c r="D103" s="14" t="s">
        <v>475</v>
      </c>
      <c r="E103" s="14" t="s">
        <v>1624</v>
      </c>
      <c r="F103" s="14" t="s">
        <v>860</v>
      </c>
      <c r="G103" s="14" t="s">
        <v>861</v>
      </c>
      <c r="H103" s="14"/>
      <c r="I103" s="14">
        <v>4</v>
      </c>
      <c r="J103" s="14"/>
      <c r="K103" s="14" t="s">
        <v>1808</v>
      </c>
      <c r="L103" s="14" t="s">
        <v>1809</v>
      </c>
      <c r="M103" s="14" t="s">
        <v>1756</v>
      </c>
      <c r="N103" s="14"/>
    </row>
    <row r="104" spans="1:14" ht="45" customHeight="1">
      <c r="A104" s="13" t="s">
        <v>1889</v>
      </c>
      <c r="B104" s="13" t="s">
        <v>318</v>
      </c>
      <c r="C104" s="13" t="s">
        <v>1629</v>
      </c>
      <c r="D104" s="13" t="s">
        <v>475</v>
      </c>
      <c r="E104" s="13" t="s">
        <v>1624</v>
      </c>
      <c r="F104" s="13" t="s">
        <v>833</v>
      </c>
      <c r="G104" s="13" t="s">
        <v>834</v>
      </c>
      <c r="H104" s="13"/>
      <c r="I104" s="13">
        <v>3</v>
      </c>
      <c r="J104" s="13"/>
      <c r="K104" s="13" t="s">
        <v>1808</v>
      </c>
      <c r="L104" s="13" t="s">
        <v>1809</v>
      </c>
      <c r="M104" s="13" t="s">
        <v>1757</v>
      </c>
      <c r="N104" s="13"/>
    </row>
    <row r="105" spans="1:14" ht="45" customHeight="1">
      <c r="A105" s="14" t="s">
        <v>1890</v>
      </c>
      <c r="B105" s="14" t="s">
        <v>318</v>
      </c>
      <c r="C105" s="14" t="s">
        <v>1629</v>
      </c>
      <c r="D105" s="14" t="s">
        <v>475</v>
      </c>
      <c r="E105" s="14" t="s">
        <v>1624</v>
      </c>
      <c r="F105" s="14" t="s">
        <v>836</v>
      </c>
      <c r="G105" s="14" t="s">
        <v>837</v>
      </c>
      <c r="H105" s="14"/>
      <c r="I105" s="14">
        <v>4</v>
      </c>
      <c r="J105" s="14"/>
      <c r="K105" s="14" t="s">
        <v>1808</v>
      </c>
      <c r="L105" s="14" t="s">
        <v>1809</v>
      </c>
      <c r="M105" s="14" t="s">
        <v>1757</v>
      </c>
      <c r="N105" s="14"/>
    </row>
    <row r="106" spans="1:14" ht="45" customHeight="1">
      <c r="A106" s="13" t="s">
        <v>1891</v>
      </c>
      <c r="B106" s="13" t="s">
        <v>318</v>
      </c>
      <c r="C106" s="13" t="s">
        <v>1629</v>
      </c>
      <c r="D106" s="13" t="s">
        <v>475</v>
      </c>
      <c r="E106" s="13" t="s">
        <v>1624</v>
      </c>
      <c r="F106" s="13" t="s">
        <v>842</v>
      </c>
      <c r="G106" s="13" t="s">
        <v>843</v>
      </c>
      <c r="H106" s="13"/>
      <c r="I106" s="13">
        <v>4</v>
      </c>
      <c r="J106" s="13"/>
      <c r="K106" s="13" t="s">
        <v>1808</v>
      </c>
      <c r="L106" s="13" t="s">
        <v>1809</v>
      </c>
      <c r="M106" s="13" t="s">
        <v>1757</v>
      </c>
      <c r="N106" s="13"/>
    </row>
    <row r="107" spans="1:14" ht="45" customHeight="1">
      <c r="A107" s="14" t="s">
        <v>1892</v>
      </c>
      <c r="B107" s="14" t="s">
        <v>318</v>
      </c>
      <c r="C107" s="14" t="s">
        <v>1629</v>
      </c>
      <c r="D107" s="14" t="s">
        <v>475</v>
      </c>
      <c r="E107" s="14" t="s">
        <v>1624</v>
      </c>
      <c r="F107" s="14" t="s">
        <v>866</v>
      </c>
      <c r="G107" s="14" t="s">
        <v>867</v>
      </c>
      <c r="H107" s="14"/>
      <c r="I107" s="14">
        <v>4</v>
      </c>
      <c r="J107" s="14"/>
      <c r="K107" s="14" t="s">
        <v>1808</v>
      </c>
      <c r="L107" s="14" t="s">
        <v>1809</v>
      </c>
      <c r="M107" s="14" t="s">
        <v>1757</v>
      </c>
      <c r="N107" s="14"/>
    </row>
    <row r="108" spans="1:14" ht="45" customHeight="1">
      <c r="A108" s="13" t="s">
        <v>1893</v>
      </c>
      <c r="B108" s="13" t="s">
        <v>318</v>
      </c>
      <c r="C108" s="13" t="s">
        <v>1629</v>
      </c>
      <c r="D108" s="13" t="s">
        <v>475</v>
      </c>
      <c r="E108" s="13" t="s">
        <v>1624</v>
      </c>
      <c r="F108" s="13" t="s">
        <v>869</v>
      </c>
      <c r="G108" s="13" t="s">
        <v>870</v>
      </c>
      <c r="H108" s="13"/>
      <c r="I108" s="13">
        <v>4</v>
      </c>
      <c r="J108" s="13"/>
      <c r="K108" s="13" t="s">
        <v>1808</v>
      </c>
      <c r="L108" s="13" t="s">
        <v>1809</v>
      </c>
      <c r="M108" s="13" t="s">
        <v>1757</v>
      </c>
      <c r="N108" s="13"/>
    </row>
    <row r="109" spans="1:14" ht="45" customHeight="1">
      <c r="A109" s="14" t="s">
        <v>1894</v>
      </c>
      <c r="B109" s="14" t="s">
        <v>318</v>
      </c>
      <c r="C109" s="14" t="s">
        <v>1629</v>
      </c>
      <c r="D109" s="14" t="s">
        <v>475</v>
      </c>
      <c r="E109" s="14" t="s">
        <v>1624</v>
      </c>
      <c r="F109" s="14" t="s">
        <v>848</v>
      </c>
      <c r="G109" s="14" t="s">
        <v>849</v>
      </c>
      <c r="H109" s="14"/>
      <c r="I109" s="14">
        <v>4</v>
      </c>
      <c r="J109" s="14"/>
      <c r="K109" s="14" t="s">
        <v>1808</v>
      </c>
      <c r="L109" s="14" t="s">
        <v>1809</v>
      </c>
      <c r="M109" s="14" t="s">
        <v>1757</v>
      </c>
      <c r="N109" s="14"/>
    </row>
    <row r="110" spans="1:14" ht="45" customHeight="1">
      <c r="A110" s="13" t="s">
        <v>1895</v>
      </c>
      <c r="B110" s="13" t="s">
        <v>318</v>
      </c>
      <c r="C110" s="13" t="s">
        <v>1629</v>
      </c>
      <c r="D110" s="13" t="s">
        <v>475</v>
      </c>
      <c r="E110" s="13" t="s">
        <v>1624</v>
      </c>
      <c r="F110" s="13" t="s">
        <v>851</v>
      </c>
      <c r="G110" s="13" t="s">
        <v>852</v>
      </c>
      <c r="H110" s="13"/>
      <c r="I110" s="13">
        <v>4</v>
      </c>
      <c r="J110" s="13"/>
      <c r="K110" s="13" t="s">
        <v>1808</v>
      </c>
      <c r="L110" s="13" t="s">
        <v>1809</v>
      </c>
      <c r="M110" s="13" t="s">
        <v>1757</v>
      </c>
      <c r="N110" s="13"/>
    </row>
    <row r="111" spans="1:14" ht="45" customHeight="1">
      <c r="A111" s="14" t="s">
        <v>1896</v>
      </c>
      <c r="B111" s="14" t="s">
        <v>318</v>
      </c>
      <c r="C111" s="14" t="s">
        <v>1629</v>
      </c>
      <c r="D111" s="14" t="s">
        <v>475</v>
      </c>
      <c r="E111" s="14" t="s">
        <v>1624</v>
      </c>
      <c r="F111" s="14" t="s">
        <v>854</v>
      </c>
      <c r="G111" s="14" t="s">
        <v>855</v>
      </c>
      <c r="H111" s="14"/>
      <c r="I111" s="14">
        <v>4</v>
      </c>
      <c r="J111" s="14"/>
      <c r="K111" s="14" t="s">
        <v>1808</v>
      </c>
      <c r="L111" s="14" t="s">
        <v>1809</v>
      </c>
      <c r="M111" s="14" t="s">
        <v>1757</v>
      </c>
      <c r="N111" s="14"/>
    </row>
    <row r="112" spans="1:14" ht="45" customHeight="1">
      <c r="A112" s="13" t="s">
        <v>1897</v>
      </c>
      <c r="B112" s="13" t="s">
        <v>318</v>
      </c>
      <c r="C112" s="13" t="s">
        <v>1629</v>
      </c>
      <c r="D112" s="13" t="s">
        <v>475</v>
      </c>
      <c r="E112" s="13" t="s">
        <v>1624</v>
      </c>
      <c r="F112" s="13" t="s">
        <v>857</v>
      </c>
      <c r="G112" s="13" t="s">
        <v>858</v>
      </c>
      <c r="H112" s="13"/>
      <c r="I112" s="13">
        <v>4</v>
      </c>
      <c r="J112" s="13"/>
      <c r="K112" s="13" t="s">
        <v>1808</v>
      </c>
      <c r="L112" s="13" t="s">
        <v>1809</v>
      </c>
      <c r="M112" s="13" t="s">
        <v>1757</v>
      </c>
      <c r="N112" s="13"/>
    </row>
    <row r="113" spans="1:14" ht="45" customHeight="1">
      <c r="A113" s="14" t="s">
        <v>1898</v>
      </c>
      <c r="B113" s="14" t="s">
        <v>318</v>
      </c>
      <c r="C113" s="14" t="s">
        <v>1629</v>
      </c>
      <c r="D113" s="14" t="s">
        <v>475</v>
      </c>
      <c r="E113" s="14" t="s">
        <v>1624</v>
      </c>
      <c r="F113" s="14" t="s">
        <v>860</v>
      </c>
      <c r="G113" s="14" t="s">
        <v>861</v>
      </c>
      <c r="H113" s="14"/>
      <c r="I113" s="14">
        <v>4</v>
      </c>
      <c r="J113" s="14"/>
      <c r="K113" s="14" t="s">
        <v>1808</v>
      </c>
      <c r="L113" s="14" t="s">
        <v>1809</v>
      </c>
      <c r="M113" s="14" t="s">
        <v>1757</v>
      </c>
      <c r="N113" s="14"/>
    </row>
    <row r="114" spans="1:14" ht="45" customHeight="1">
      <c r="A114" s="13" t="s">
        <v>1899</v>
      </c>
      <c r="B114" s="13" t="s">
        <v>318</v>
      </c>
      <c r="C114" s="13" t="s">
        <v>1631</v>
      </c>
      <c r="D114" s="13" t="s">
        <v>475</v>
      </c>
      <c r="E114" s="13" t="s">
        <v>1624</v>
      </c>
      <c r="F114" s="13" t="s">
        <v>833</v>
      </c>
      <c r="G114" s="13" t="s">
        <v>834</v>
      </c>
      <c r="H114" s="13"/>
      <c r="I114" s="13">
        <v>3</v>
      </c>
      <c r="J114" s="13">
        <v>2</v>
      </c>
      <c r="K114" s="13" t="s">
        <v>1785</v>
      </c>
      <c r="L114" s="13" t="s">
        <v>1786</v>
      </c>
      <c r="M114" s="13" t="s">
        <v>1758</v>
      </c>
      <c r="N114" s="13">
        <v>0.83</v>
      </c>
    </row>
    <row r="115" spans="1:14" ht="45" customHeight="1">
      <c r="A115" s="14" t="s">
        <v>1900</v>
      </c>
      <c r="B115" s="14" t="s">
        <v>318</v>
      </c>
      <c r="C115" s="14" t="s">
        <v>1631</v>
      </c>
      <c r="D115" s="14" t="s">
        <v>475</v>
      </c>
      <c r="E115" s="14" t="s">
        <v>1624</v>
      </c>
      <c r="F115" s="14" t="s">
        <v>836</v>
      </c>
      <c r="G115" s="14" t="s">
        <v>837</v>
      </c>
      <c r="H115" s="14"/>
      <c r="I115" s="14">
        <v>4</v>
      </c>
      <c r="J115" s="14">
        <v>1</v>
      </c>
      <c r="K115" s="14" t="s">
        <v>1785</v>
      </c>
      <c r="L115" s="14" t="s">
        <v>1788</v>
      </c>
      <c r="M115" s="14" t="s">
        <v>1758</v>
      </c>
      <c r="N115" s="14">
        <v>0.8</v>
      </c>
    </row>
    <row r="116" spans="1:14" ht="45" customHeight="1">
      <c r="A116" s="13" t="s">
        <v>1901</v>
      </c>
      <c r="B116" s="13" t="s">
        <v>318</v>
      </c>
      <c r="C116" s="13" t="s">
        <v>1631</v>
      </c>
      <c r="D116" s="13" t="s">
        <v>475</v>
      </c>
      <c r="E116" s="13" t="s">
        <v>1624</v>
      </c>
      <c r="F116" s="13" t="s">
        <v>842</v>
      </c>
      <c r="G116" s="13" t="s">
        <v>843</v>
      </c>
      <c r="H116" s="13"/>
      <c r="I116" s="13">
        <v>4</v>
      </c>
      <c r="J116" s="13">
        <v>2</v>
      </c>
      <c r="K116" s="13" t="s">
        <v>1785</v>
      </c>
      <c r="L116" s="13" t="s">
        <v>1788</v>
      </c>
      <c r="M116" s="13" t="s">
        <v>1758</v>
      </c>
      <c r="N116" s="13">
        <v>0.76</v>
      </c>
    </row>
    <row r="117" spans="1:14" ht="45" customHeight="1">
      <c r="A117" s="14" t="s">
        <v>1902</v>
      </c>
      <c r="B117" s="14" t="s">
        <v>318</v>
      </c>
      <c r="C117" s="14" t="s">
        <v>1631</v>
      </c>
      <c r="D117" s="14" t="s">
        <v>475</v>
      </c>
      <c r="E117" s="14" t="s">
        <v>1624</v>
      </c>
      <c r="F117" s="14" t="s">
        <v>866</v>
      </c>
      <c r="G117" s="14" t="s">
        <v>867</v>
      </c>
      <c r="H117" s="14"/>
      <c r="I117" s="14">
        <v>4</v>
      </c>
      <c r="J117" s="14">
        <v>2</v>
      </c>
      <c r="K117" s="14" t="s">
        <v>1785</v>
      </c>
      <c r="L117" s="14" t="s">
        <v>1786</v>
      </c>
      <c r="M117" s="14" t="s">
        <v>1758</v>
      </c>
      <c r="N117" s="14">
        <v>0.75</v>
      </c>
    </row>
    <row r="118" spans="1:14" ht="45" customHeight="1">
      <c r="A118" s="13" t="s">
        <v>1903</v>
      </c>
      <c r="B118" s="13" t="s">
        <v>318</v>
      </c>
      <c r="C118" s="13" t="s">
        <v>1631</v>
      </c>
      <c r="D118" s="13" t="s">
        <v>475</v>
      </c>
      <c r="E118" s="13" t="s">
        <v>1624</v>
      </c>
      <c r="F118" s="13" t="s">
        <v>869</v>
      </c>
      <c r="G118" s="13" t="s">
        <v>870</v>
      </c>
      <c r="H118" s="13"/>
      <c r="I118" s="13">
        <v>4</v>
      </c>
      <c r="J118" s="13">
        <v>3</v>
      </c>
      <c r="K118" s="13" t="s">
        <v>1785</v>
      </c>
      <c r="L118" s="13" t="s">
        <v>1786</v>
      </c>
      <c r="M118" s="13" t="s">
        <v>1758</v>
      </c>
      <c r="N118" s="13">
        <v>0.94</v>
      </c>
    </row>
    <row r="119" spans="1:14" ht="45" customHeight="1">
      <c r="A119" s="14" t="s">
        <v>1904</v>
      </c>
      <c r="B119" s="14" t="s">
        <v>318</v>
      </c>
      <c r="C119" s="14" t="s">
        <v>1631</v>
      </c>
      <c r="D119" s="14" t="s">
        <v>475</v>
      </c>
      <c r="E119" s="14" t="s">
        <v>1624</v>
      </c>
      <c r="F119" s="14" t="s">
        <v>848</v>
      </c>
      <c r="G119" s="14" t="s">
        <v>849</v>
      </c>
      <c r="H119" s="14"/>
      <c r="I119" s="14">
        <v>4</v>
      </c>
      <c r="J119" s="14">
        <v>2</v>
      </c>
      <c r="K119" s="14" t="s">
        <v>1785</v>
      </c>
      <c r="L119" s="14" t="s">
        <v>1786</v>
      </c>
      <c r="M119" s="14" t="s">
        <v>1758</v>
      </c>
      <c r="N119" s="14">
        <v>0.85</v>
      </c>
    </row>
    <row r="120" spans="1:14" ht="45" customHeight="1">
      <c r="A120" s="13" t="s">
        <v>1905</v>
      </c>
      <c r="B120" s="13" t="s">
        <v>318</v>
      </c>
      <c r="C120" s="13" t="s">
        <v>1631</v>
      </c>
      <c r="D120" s="13" t="s">
        <v>475</v>
      </c>
      <c r="E120" s="13" t="s">
        <v>1624</v>
      </c>
      <c r="F120" s="13" t="s">
        <v>851</v>
      </c>
      <c r="G120" s="13" t="s">
        <v>852</v>
      </c>
      <c r="H120" s="13"/>
      <c r="I120" s="13">
        <v>4</v>
      </c>
      <c r="J120" s="13">
        <v>3</v>
      </c>
      <c r="K120" s="13" t="s">
        <v>1785</v>
      </c>
      <c r="L120" s="13" t="s">
        <v>1788</v>
      </c>
      <c r="M120" s="13" t="s">
        <v>1758</v>
      </c>
      <c r="N120" s="13">
        <v>0.72</v>
      </c>
    </row>
    <row r="121" spans="1:14" ht="45" customHeight="1">
      <c r="A121" s="14" t="s">
        <v>1906</v>
      </c>
      <c r="B121" s="14" t="s">
        <v>318</v>
      </c>
      <c r="C121" s="14" t="s">
        <v>1631</v>
      </c>
      <c r="D121" s="14" t="s">
        <v>475</v>
      </c>
      <c r="E121" s="14" t="s">
        <v>1624</v>
      </c>
      <c r="F121" s="14" t="s">
        <v>854</v>
      </c>
      <c r="G121" s="14" t="s">
        <v>855</v>
      </c>
      <c r="H121" s="14"/>
      <c r="I121" s="14">
        <v>4</v>
      </c>
      <c r="J121" s="14">
        <v>2</v>
      </c>
      <c r="K121" s="14" t="s">
        <v>1785</v>
      </c>
      <c r="L121" s="14" t="s">
        <v>1786</v>
      </c>
      <c r="M121" s="14" t="s">
        <v>1758</v>
      </c>
      <c r="N121" s="14">
        <v>0.74</v>
      </c>
    </row>
    <row r="122" spans="1:14" ht="45" customHeight="1">
      <c r="A122" s="13" t="s">
        <v>1907</v>
      </c>
      <c r="B122" s="13" t="s">
        <v>318</v>
      </c>
      <c r="C122" s="13" t="s">
        <v>1631</v>
      </c>
      <c r="D122" s="13" t="s">
        <v>475</v>
      </c>
      <c r="E122" s="13" t="s">
        <v>1624</v>
      </c>
      <c r="F122" s="13" t="s">
        <v>857</v>
      </c>
      <c r="G122" s="13" t="s">
        <v>858</v>
      </c>
      <c r="H122" s="13"/>
      <c r="I122" s="13">
        <v>4</v>
      </c>
      <c r="J122" s="13">
        <v>2</v>
      </c>
      <c r="K122" s="13" t="s">
        <v>1785</v>
      </c>
      <c r="L122" s="13" t="s">
        <v>1788</v>
      </c>
      <c r="M122" s="13" t="s">
        <v>1758</v>
      </c>
      <c r="N122" s="13">
        <v>0.84</v>
      </c>
    </row>
    <row r="123" spans="1:14" ht="45" customHeight="1">
      <c r="A123" s="14" t="s">
        <v>1908</v>
      </c>
      <c r="B123" s="14" t="s">
        <v>318</v>
      </c>
      <c r="C123" s="14" t="s">
        <v>1631</v>
      </c>
      <c r="D123" s="14" t="s">
        <v>475</v>
      </c>
      <c r="E123" s="14" t="s">
        <v>1624</v>
      </c>
      <c r="F123" s="14" t="s">
        <v>860</v>
      </c>
      <c r="G123" s="14" t="s">
        <v>861</v>
      </c>
      <c r="H123" s="14"/>
      <c r="I123" s="14">
        <v>4</v>
      </c>
      <c r="J123" s="14">
        <v>1</v>
      </c>
      <c r="K123" s="14" t="s">
        <v>1785</v>
      </c>
      <c r="L123" s="14" t="s">
        <v>1788</v>
      </c>
      <c r="M123" s="14" t="s">
        <v>1758</v>
      </c>
      <c r="N123" s="14">
        <v>0.76</v>
      </c>
    </row>
    <row r="124" spans="1:14" ht="45" customHeight="1">
      <c r="A124" s="13" t="s">
        <v>1909</v>
      </c>
      <c r="B124" s="13" t="s">
        <v>318</v>
      </c>
      <c r="C124" s="13" t="s">
        <v>1633</v>
      </c>
      <c r="D124" s="13" t="s">
        <v>481</v>
      </c>
      <c r="E124" s="13" t="s">
        <v>1635</v>
      </c>
      <c r="F124" s="13" t="s">
        <v>563</v>
      </c>
      <c r="G124" s="13" t="s">
        <v>564</v>
      </c>
      <c r="H124" s="13" t="s">
        <v>565</v>
      </c>
      <c r="I124" s="13">
        <v>3</v>
      </c>
      <c r="J124" s="13">
        <v>2</v>
      </c>
      <c r="K124" s="13" t="s">
        <v>1785</v>
      </c>
      <c r="L124" s="13" t="s">
        <v>1786</v>
      </c>
      <c r="M124" s="13" t="s">
        <v>1759</v>
      </c>
      <c r="N124" s="13">
        <v>0.92</v>
      </c>
    </row>
    <row r="125" spans="1:14" ht="45" customHeight="1">
      <c r="A125" s="14" t="s">
        <v>1910</v>
      </c>
      <c r="B125" s="14" t="s">
        <v>318</v>
      </c>
      <c r="C125" s="14" t="s">
        <v>1633</v>
      </c>
      <c r="D125" s="14" t="s">
        <v>481</v>
      </c>
      <c r="E125" s="14" t="s">
        <v>1635</v>
      </c>
      <c r="F125" s="14" t="s">
        <v>572</v>
      </c>
      <c r="G125" s="14" t="s">
        <v>573</v>
      </c>
      <c r="H125" s="14" t="s">
        <v>565</v>
      </c>
      <c r="I125" s="14">
        <v>3</v>
      </c>
      <c r="J125" s="14">
        <v>3</v>
      </c>
      <c r="K125" s="14" t="s">
        <v>1785</v>
      </c>
      <c r="L125" s="14" t="s">
        <v>1788</v>
      </c>
      <c r="M125" s="14" t="s">
        <v>1759</v>
      </c>
      <c r="N125" s="14">
        <v>0.83</v>
      </c>
    </row>
    <row r="126" spans="1:14" ht="45" customHeight="1">
      <c r="A126" s="13" t="s">
        <v>1911</v>
      </c>
      <c r="B126" s="13" t="s">
        <v>318</v>
      </c>
      <c r="C126" s="13" t="s">
        <v>1633</v>
      </c>
      <c r="D126" s="13" t="s">
        <v>481</v>
      </c>
      <c r="E126" s="13" t="s">
        <v>1635</v>
      </c>
      <c r="F126" s="13" t="s">
        <v>579</v>
      </c>
      <c r="G126" s="13" t="s">
        <v>580</v>
      </c>
      <c r="H126" s="13" t="s">
        <v>565</v>
      </c>
      <c r="I126" s="13">
        <v>3</v>
      </c>
      <c r="J126" s="13">
        <v>2</v>
      </c>
      <c r="K126" s="13" t="s">
        <v>1785</v>
      </c>
      <c r="L126" s="13" t="s">
        <v>1786</v>
      </c>
      <c r="M126" s="13" t="s">
        <v>1759</v>
      </c>
      <c r="N126" s="13">
        <v>0.9</v>
      </c>
    </row>
    <row r="127" spans="1:14" ht="45" customHeight="1">
      <c r="A127" s="14" t="s">
        <v>1912</v>
      </c>
      <c r="B127" s="14" t="s">
        <v>318</v>
      </c>
      <c r="C127" s="14" t="s">
        <v>1633</v>
      </c>
      <c r="D127" s="14" t="s">
        <v>481</v>
      </c>
      <c r="E127" s="14" t="s">
        <v>1635</v>
      </c>
      <c r="F127" s="14" t="s">
        <v>586</v>
      </c>
      <c r="G127" s="14" t="s">
        <v>587</v>
      </c>
      <c r="H127" s="14" t="s">
        <v>565</v>
      </c>
      <c r="I127" s="14">
        <v>3</v>
      </c>
      <c r="J127" s="14">
        <v>2</v>
      </c>
      <c r="K127" s="14" t="s">
        <v>1785</v>
      </c>
      <c r="L127" s="14" t="s">
        <v>1786</v>
      </c>
      <c r="M127" s="14" t="s">
        <v>1759</v>
      </c>
      <c r="N127" s="14">
        <v>0.69</v>
      </c>
    </row>
    <row r="128" spans="1:14" ht="45" customHeight="1">
      <c r="A128" s="13" t="s">
        <v>1913</v>
      </c>
      <c r="B128" s="13" t="s">
        <v>318</v>
      </c>
      <c r="C128" s="13" t="s">
        <v>1633</v>
      </c>
      <c r="D128" s="13" t="s">
        <v>481</v>
      </c>
      <c r="E128" s="13" t="s">
        <v>1635</v>
      </c>
      <c r="F128" s="13" t="s">
        <v>600</v>
      </c>
      <c r="G128" s="13" t="s">
        <v>601</v>
      </c>
      <c r="H128" s="13" t="s">
        <v>565</v>
      </c>
      <c r="I128" s="13">
        <v>3</v>
      </c>
      <c r="J128" s="13">
        <v>3</v>
      </c>
      <c r="K128" s="13" t="s">
        <v>1785</v>
      </c>
      <c r="L128" s="13" t="s">
        <v>1788</v>
      </c>
      <c r="M128" s="13" t="s">
        <v>1759</v>
      </c>
      <c r="N128" s="13">
        <v>0.85</v>
      </c>
    </row>
    <row r="129" spans="1:14" ht="45" customHeight="1">
      <c r="A129" s="14" t="s">
        <v>1914</v>
      </c>
      <c r="B129" s="14" t="s">
        <v>318</v>
      </c>
      <c r="C129" s="14" t="s">
        <v>1633</v>
      </c>
      <c r="D129" s="14" t="s">
        <v>481</v>
      </c>
      <c r="E129" s="14" t="s">
        <v>1635</v>
      </c>
      <c r="F129" s="14" t="s">
        <v>607</v>
      </c>
      <c r="G129" s="14" t="s">
        <v>608</v>
      </c>
      <c r="H129" s="14" t="s">
        <v>565</v>
      </c>
      <c r="I129" s="14">
        <v>3</v>
      </c>
      <c r="J129" s="14">
        <v>3</v>
      </c>
      <c r="K129" s="14" t="s">
        <v>1785</v>
      </c>
      <c r="L129" s="14" t="s">
        <v>1788</v>
      </c>
      <c r="M129" s="14" t="s">
        <v>1759</v>
      </c>
      <c r="N129" s="14">
        <v>0.93</v>
      </c>
    </row>
    <row r="130" spans="1:14" ht="45" customHeight="1">
      <c r="A130" s="13" t="s">
        <v>1915</v>
      </c>
      <c r="B130" s="13" t="s">
        <v>318</v>
      </c>
      <c r="C130" s="13" t="s">
        <v>1633</v>
      </c>
      <c r="D130" s="13" t="s">
        <v>481</v>
      </c>
      <c r="E130" s="13" t="s">
        <v>1635</v>
      </c>
      <c r="F130" s="13" t="s">
        <v>614</v>
      </c>
      <c r="G130" s="13" t="s">
        <v>615</v>
      </c>
      <c r="H130" s="13" t="s">
        <v>565</v>
      </c>
      <c r="I130" s="13">
        <v>3</v>
      </c>
      <c r="J130" s="13">
        <v>3</v>
      </c>
      <c r="K130" s="13" t="s">
        <v>1785</v>
      </c>
      <c r="L130" s="13" t="s">
        <v>1786</v>
      </c>
      <c r="M130" s="13" t="s">
        <v>1759</v>
      </c>
      <c r="N130" s="13">
        <v>0.87</v>
      </c>
    </row>
    <row r="131" spans="1:14" ht="45" customHeight="1">
      <c r="A131" s="14" t="s">
        <v>1916</v>
      </c>
      <c r="B131" s="14" t="s">
        <v>318</v>
      </c>
      <c r="C131" s="14" t="s">
        <v>1633</v>
      </c>
      <c r="D131" s="14" t="s">
        <v>481</v>
      </c>
      <c r="E131" s="14" t="s">
        <v>1635</v>
      </c>
      <c r="F131" s="14" t="s">
        <v>621</v>
      </c>
      <c r="G131" s="14" t="s">
        <v>622</v>
      </c>
      <c r="H131" s="14" t="s">
        <v>565</v>
      </c>
      <c r="I131" s="14">
        <v>3</v>
      </c>
      <c r="J131" s="14">
        <v>3</v>
      </c>
      <c r="K131" s="14" t="s">
        <v>1785</v>
      </c>
      <c r="L131" s="14" t="s">
        <v>1786</v>
      </c>
      <c r="M131" s="14" t="s">
        <v>1759</v>
      </c>
      <c r="N131" s="14">
        <v>0.88</v>
      </c>
    </row>
    <row r="132" spans="1:14" ht="45" customHeight="1">
      <c r="A132" s="13" t="s">
        <v>1917</v>
      </c>
      <c r="B132" s="13" t="s">
        <v>318</v>
      </c>
      <c r="C132" s="13" t="s">
        <v>1633</v>
      </c>
      <c r="D132" s="13" t="s">
        <v>481</v>
      </c>
      <c r="E132" s="13" t="s">
        <v>1635</v>
      </c>
      <c r="F132" s="13" t="s">
        <v>628</v>
      </c>
      <c r="G132" s="13" t="s">
        <v>629</v>
      </c>
      <c r="H132" s="13" t="s">
        <v>630</v>
      </c>
      <c r="I132" s="13">
        <v>3</v>
      </c>
      <c r="J132" s="13">
        <v>3</v>
      </c>
      <c r="K132" s="13" t="s">
        <v>1785</v>
      </c>
      <c r="L132" s="13" t="s">
        <v>1786</v>
      </c>
      <c r="M132" s="13" t="s">
        <v>1759</v>
      </c>
      <c r="N132" s="13">
        <v>0.76</v>
      </c>
    </row>
    <row r="133" spans="1:14" ht="45" customHeight="1">
      <c r="A133" s="14" t="s">
        <v>1918</v>
      </c>
      <c r="B133" s="14" t="s">
        <v>318</v>
      </c>
      <c r="C133" s="14" t="s">
        <v>1633</v>
      </c>
      <c r="D133" s="14" t="s">
        <v>481</v>
      </c>
      <c r="E133" s="14" t="s">
        <v>1635</v>
      </c>
      <c r="F133" s="14" t="s">
        <v>636</v>
      </c>
      <c r="G133" s="14" t="s">
        <v>637</v>
      </c>
      <c r="H133" s="14" t="s">
        <v>630</v>
      </c>
      <c r="I133" s="14">
        <v>3</v>
      </c>
      <c r="J133" s="14">
        <v>2</v>
      </c>
      <c r="K133" s="14" t="s">
        <v>1785</v>
      </c>
      <c r="L133" s="14" t="s">
        <v>1786</v>
      </c>
      <c r="M133" s="14" t="s">
        <v>1759</v>
      </c>
      <c r="N133" s="14">
        <v>0.88</v>
      </c>
    </row>
    <row r="134" spans="1:14" ht="45" customHeight="1">
      <c r="A134" s="13" t="s">
        <v>1919</v>
      </c>
      <c r="B134" s="13" t="s">
        <v>318</v>
      </c>
      <c r="C134" s="13" t="s">
        <v>1639</v>
      </c>
      <c r="D134" s="13" t="s">
        <v>481</v>
      </c>
      <c r="E134" s="13" t="s">
        <v>1635</v>
      </c>
      <c r="F134" s="13" t="s">
        <v>563</v>
      </c>
      <c r="G134" s="13" t="s">
        <v>564</v>
      </c>
      <c r="H134" s="13" t="s">
        <v>565</v>
      </c>
      <c r="I134" s="13">
        <v>3</v>
      </c>
      <c r="J134" s="13">
        <v>3</v>
      </c>
      <c r="K134" s="13" t="s">
        <v>1785</v>
      </c>
      <c r="L134" s="13" t="s">
        <v>1786</v>
      </c>
      <c r="M134" s="13" t="s">
        <v>1760</v>
      </c>
      <c r="N134" s="13">
        <v>0.81</v>
      </c>
    </row>
    <row r="135" spans="1:14" ht="45" customHeight="1">
      <c r="A135" s="14" t="s">
        <v>1920</v>
      </c>
      <c r="B135" s="14" t="s">
        <v>318</v>
      </c>
      <c r="C135" s="14" t="s">
        <v>1639</v>
      </c>
      <c r="D135" s="14" t="s">
        <v>481</v>
      </c>
      <c r="E135" s="14" t="s">
        <v>1635</v>
      </c>
      <c r="F135" s="14" t="s">
        <v>572</v>
      </c>
      <c r="G135" s="14" t="s">
        <v>573</v>
      </c>
      <c r="H135" s="14" t="s">
        <v>565</v>
      </c>
      <c r="I135" s="14">
        <v>3</v>
      </c>
      <c r="J135" s="14">
        <v>2</v>
      </c>
      <c r="K135" s="14" t="s">
        <v>1785</v>
      </c>
      <c r="L135" s="14" t="s">
        <v>1786</v>
      </c>
      <c r="M135" s="14" t="s">
        <v>1760</v>
      </c>
      <c r="N135" s="14">
        <v>0.75</v>
      </c>
    </row>
    <row r="136" spans="1:14" ht="45" customHeight="1">
      <c r="A136" s="13" t="s">
        <v>1921</v>
      </c>
      <c r="B136" s="13" t="s">
        <v>318</v>
      </c>
      <c r="C136" s="13" t="s">
        <v>1639</v>
      </c>
      <c r="D136" s="13" t="s">
        <v>481</v>
      </c>
      <c r="E136" s="13" t="s">
        <v>1635</v>
      </c>
      <c r="F136" s="13" t="s">
        <v>579</v>
      </c>
      <c r="G136" s="13" t="s">
        <v>580</v>
      </c>
      <c r="H136" s="13" t="s">
        <v>565</v>
      </c>
      <c r="I136" s="13">
        <v>3</v>
      </c>
      <c r="J136" s="13">
        <v>3</v>
      </c>
      <c r="K136" s="13" t="s">
        <v>1785</v>
      </c>
      <c r="L136" s="13" t="s">
        <v>1786</v>
      </c>
      <c r="M136" s="13" t="s">
        <v>1760</v>
      </c>
      <c r="N136" s="13">
        <v>0.68</v>
      </c>
    </row>
    <row r="137" spans="1:14" ht="45" customHeight="1">
      <c r="A137" s="14" t="s">
        <v>1922</v>
      </c>
      <c r="B137" s="14" t="s">
        <v>318</v>
      </c>
      <c r="C137" s="14" t="s">
        <v>1639</v>
      </c>
      <c r="D137" s="14" t="s">
        <v>481</v>
      </c>
      <c r="E137" s="14" t="s">
        <v>1635</v>
      </c>
      <c r="F137" s="14" t="s">
        <v>586</v>
      </c>
      <c r="G137" s="14" t="s">
        <v>587</v>
      </c>
      <c r="H137" s="14" t="s">
        <v>565</v>
      </c>
      <c r="I137" s="14">
        <v>3</v>
      </c>
      <c r="J137" s="14">
        <v>1</v>
      </c>
      <c r="K137" s="14" t="s">
        <v>1785</v>
      </c>
      <c r="L137" s="14" t="s">
        <v>1786</v>
      </c>
      <c r="M137" s="14" t="s">
        <v>1760</v>
      </c>
      <c r="N137" s="14">
        <v>0.82</v>
      </c>
    </row>
    <row r="138" spans="1:14" ht="45" customHeight="1">
      <c r="A138" s="13" t="s">
        <v>1923</v>
      </c>
      <c r="B138" s="13" t="s">
        <v>318</v>
      </c>
      <c r="C138" s="13" t="s">
        <v>1639</v>
      </c>
      <c r="D138" s="13" t="s">
        <v>481</v>
      </c>
      <c r="E138" s="13" t="s">
        <v>1635</v>
      </c>
      <c r="F138" s="13" t="s">
        <v>600</v>
      </c>
      <c r="G138" s="13" t="s">
        <v>601</v>
      </c>
      <c r="H138" s="13" t="s">
        <v>565</v>
      </c>
      <c r="I138" s="13">
        <v>3</v>
      </c>
      <c r="J138" s="13">
        <v>2</v>
      </c>
      <c r="K138" s="13" t="s">
        <v>1785</v>
      </c>
      <c r="L138" s="13" t="s">
        <v>1786</v>
      </c>
      <c r="M138" s="13" t="s">
        <v>1760</v>
      </c>
      <c r="N138" s="13">
        <v>0.89</v>
      </c>
    </row>
    <row r="139" spans="1:14" ht="45" customHeight="1">
      <c r="A139" s="14" t="s">
        <v>1924</v>
      </c>
      <c r="B139" s="14" t="s">
        <v>318</v>
      </c>
      <c r="C139" s="14" t="s">
        <v>1639</v>
      </c>
      <c r="D139" s="14" t="s">
        <v>481</v>
      </c>
      <c r="E139" s="14" t="s">
        <v>1635</v>
      </c>
      <c r="F139" s="14" t="s">
        <v>607</v>
      </c>
      <c r="G139" s="14" t="s">
        <v>608</v>
      </c>
      <c r="H139" s="14" t="s">
        <v>565</v>
      </c>
      <c r="I139" s="14">
        <v>3</v>
      </c>
      <c r="J139" s="14">
        <v>2</v>
      </c>
      <c r="K139" s="14" t="s">
        <v>1785</v>
      </c>
      <c r="L139" s="14" t="s">
        <v>1786</v>
      </c>
      <c r="M139" s="14" t="s">
        <v>1760</v>
      </c>
      <c r="N139" s="14">
        <v>0.76</v>
      </c>
    </row>
    <row r="140" spans="1:14" ht="45" customHeight="1">
      <c r="A140" s="13" t="s">
        <v>1925</v>
      </c>
      <c r="B140" s="13" t="s">
        <v>318</v>
      </c>
      <c r="C140" s="13" t="s">
        <v>1639</v>
      </c>
      <c r="D140" s="13" t="s">
        <v>481</v>
      </c>
      <c r="E140" s="13" t="s">
        <v>1635</v>
      </c>
      <c r="F140" s="13" t="s">
        <v>614</v>
      </c>
      <c r="G140" s="13" t="s">
        <v>615</v>
      </c>
      <c r="H140" s="13" t="s">
        <v>565</v>
      </c>
      <c r="I140" s="13">
        <v>3</v>
      </c>
      <c r="J140" s="13">
        <v>2</v>
      </c>
      <c r="K140" s="13" t="s">
        <v>1785</v>
      </c>
      <c r="L140" s="13" t="s">
        <v>1786</v>
      </c>
      <c r="M140" s="13" t="s">
        <v>1760</v>
      </c>
      <c r="N140" s="13">
        <v>0.79</v>
      </c>
    </row>
    <row r="141" spans="1:14" ht="45" customHeight="1">
      <c r="A141" s="14" t="s">
        <v>1926</v>
      </c>
      <c r="B141" s="14" t="s">
        <v>318</v>
      </c>
      <c r="C141" s="14" t="s">
        <v>1639</v>
      </c>
      <c r="D141" s="14" t="s">
        <v>481</v>
      </c>
      <c r="E141" s="14" t="s">
        <v>1635</v>
      </c>
      <c r="F141" s="14" t="s">
        <v>621</v>
      </c>
      <c r="G141" s="14" t="s">
        <v>622</v>
      </c>
      <c r="H141" s="14" t="s">
        <v>565</v>
      </c>
      <c r="I141" s="14">
        <v>3</v>
      </c>
      <c r="J141" s="14">
        <v>3</v>
      </c>
      <c r="K141" s="14" t="s">
        <v>1785</v>
      </c>
      <c r="L141" s="14" t="s">
        <v>1786</v>
      </c>
      <c r="M141" s="14" t="s">
        <v>1760</v>
      </c>
      <c r="N141" s="14">
        <v>0.75</v>
      </c>
    </row>
    <row r="142" spans="1:14" ht="45" customHeight="1">
      <c r="A142" s="13" t="s">
        <v>1927</v>
      </c>
      <c r="B142" s="13" t="s">
        <v>318</v>
      </c>
      <c r="C142" s="13" t="s">
        <v>1639</v>
      </c>
      <c r="D142" s="13" t="s">
        <v>481</v>
      </c>
      <c r="E142" s="13" t="s">
        <v>1635</v>
      </c>
      <c r="F142" s="13" t="s">
        <v>628</v>
      </c>
      <c r="G142" s="13" t="s">
        <v>629</v>
      </c>
      <c r="H142" s="13" t="s">
        <v>630</v>
      </c>
      <c r="I142" s="13">
        <v>3</v>
      </c>
      <c r="J142" s="13">
        <v>2</v>
      </c>
      <c r="K142" s="13" t="s">
        <v>1785</v>
      </c>
      <c r="L142" s="13" t="s">
        <v>1788</v>
      </c>
      <c r="M142" s="13" t="s">
        <v>1760</v>
      </c>
      <c r="N142" s="13">
        <v>0.71</v>
      </c>
    </row>
    <row r="143" spans="1:14" ht="45" customHeight="1">
      <c r="A143" s="14" t="s">
        <v>1928</v>
      </c>
      <c r="B143" s="14" t="s">
        <v>318</v>
      </c>
      <c r="C143" s="14" t="s">
        <v>1639</v>
      </c>
      <c r="D143" s="14" t="s">
        <v>481</v>
      </c>
      <c r="E143" s="14" t="s">
        <v>1635</v>
      </c>
      <c r="F143" s="14" t="s">
        <v>636</v>
      </c>
      <c r="G143" s="14" t="s">
        <v>637</v>
      </c>
      <c r="H143" s="14" t="s">
        <v>630</v>
      </c>
      <c r="I143" s="14">
        <v>3</v>
      </c>
      <c r="J143" s="14">
        <v>2</v>
      </c>
      <c r="K143" s="14" t="s">
        <v>1785</v>
      </c>
      <c r="L143" s="14" t="s">
        <v>1786</v>
      </c>
      <c r="M143" s="14" t="s">
        <v>1760</v>
      </c>
      <c r="N143" s="14">
        <v>0.75</v>
      </c>
    </row>
    <row r="144" spans="1:14" ht="45" customHeight="1">
      <c r="A144" s="13" t="s">
        <v>1929</v>
      </c>
      <c r="B144" s="13" t="s">
        <v>318</v>
      </c>
      <c r="C144" s="13" t="s">
        <v>1641</v>
      </c>
      <c r="D144" s="13" t="s">
        <v>481</v>
      </c>
      <c r="E144" s="13" t="s">
        <v>1635</v>
      </c>
      <c r="F144" s="13" t="s">
        <v>563</v>
      </c>
      <c r="G144" s="13" t="s">
        <v>564</v>
      </c>
      <c r="H144" s="13" t="s">
        <v>565</v>
      </c>
      <c r="I144" s="13">
        <v>3</v>
      </c>
      <c r="J144" s="13"/>
      <c r="K144" s="13" t="s">
        <v>1808</v>
      </c>
      <c r="L144" s="13" t="s">
        <v>1809</v>
      </c>
      <c r="M144" s="13" t="s">
        <v>1761</v>
      </c>
      <c r="N144" s="13"/>
    </row>
    <row r="145" spans="1:14" ht="45" customHeight="1">
      <c r="A145" s="14" t="s">
        <v>1930</v>
      </c>
      <c r="B145" s="14" t="s">
        <v>318</v>
      </c>
      <c r="C145" s="14" t="s">
        <v>1641</v>
      </c>
      <c r="D145" s="14" t="s">
        <v>481</v>
      </c>
      <c r="E145" s="14" t="s">
        <v>1635</v>
      </c>
      <c r="F145" s="14" t="s">
        <v>572</v>
      </c>
      <c r="G145" s="14" t="s">
        <v>573</v>
      </c>
      <c r="H145" s="14" t="s">
        <v>565</v>
      </c>
      <c r="I145" s="14">
        <v>3</v>
      </c>
      <c r="J145" s="14"/>
      <c r="K145" s="14" t="s">
        <v>1808</v>
      </c>
      <c r="L145" s="14" t="s">
        <v>1809</v>
      </c>
      <c r="M145" s="14" t="s">
        <v>1761</v>
      </c>
      <c r="N145" s="14"/>
    </row>
    <row r="146" spans="1:14" ht="45" customHeight="1">
      <c r="A146" s="13" t="s">
        <v>1931</v>
      </c>
      <c r="B146" s="13" t="s">
        <v>318</v>
      </c>
      <c r="C146" s="13" t="s">
        <v>1641</v>
      </c>
      <c r="D146" s="13" t="s">
        <v>481</v>
      </c>
      <c r="E146" s="13" t="s">
        <v>1635</v>
      </c>
      <c r="F146" s="13" t="s">
        <v>579</v>
      </c>
      <c r="G146" s="13" t="s">
        <v>580</v>
      </c>
      <c r="H146" s="13" t="s">
        <v>565</v>
      </c>
      <c r="I146" s="13">
        <v>3</v>
      </c>
      <c r="J146" s="13"/>
      <c r="K146" s="13" t="s">
        <v>1808</v>
      </c>
      <c r="L146" s="13" t="s">
        <v>1809</v>
      </c>
      <c r="M146" s="13" t="s">
        <v>1761</v>
      </c>
      <c r="N146" s="13"/>
    </row>
    <row r="147" spans="1:14" ht="45" customHeight="1">
      <c r="A147" s="14" t="s">
        <v>1932</v>
      </c>
      <c r="B147" s="14" t="s">
        <v>318</v>
      </c>
      <c r="C147" s="14" t="s">
        <v>1641</v>
      </c>
      <c r="D147" s="14" t="s">
        <v>481</v>
      </c>
      <c r="E147" s="14" t="s">
        <v>1635</v>
      </c>
      <c r="F147" s="14" t="s">
        <v>586</v>
      </c>
      <c r="G147" s="14" t="s">
        <v>587</v>
      </c>
      <c r="H147" s="14" t="s">
        <v>565</v>
      </c>
      <c r="I147" s="14">
        <v>3</v>
      </c>
      <c r="J147" s="14"/>
      <c r="K147" s="14" t="s">
        <v>1808</v>
      </c>
      <c r="L147" s="14" t="s">
        <v>1809</v>
      </c>
      <c r="M147" s="14" t="s">
        <v>1761</v>
      </c>
      <c r="N147" s="14"/>
    </row>
    <row r="148" spans="1:14" ht="45" customHeight="1">
      <c r="A148" s="13" t="s">
        <v>1933</v>
      </c>
      <c r="B148" s="13" t="s">
        <v>318</v>
      </c>
      <c r="C148" s="13" t="s">
        <v>1641</v>
      </c>
      <c r="D148" s="13" t="s">
        <v>481</v>
      </c>
      <c r="E148" s="13" t="s">
        <v>1635</v>
      </c>
      <c r="F148" s="13" t="s">
        <v>600</v>
      </c>
      <c r="G148" s="13" t="s">
        <v>601</v>
      </c>
      <c r="H148" s="13" t="s">
        <v>565</v>
      </c>
      <c r="I148" s="13">
        <v>3</v>
      </c>
      <c r="J148" s="13"/>
      <c r="K148" s="13" t="s">
        <v>1808</v>
      </c>
      <c r="L148" s="13" t="s">
        <v>1809</v>
      </c>
      <c r="M148" s="13" t="s">
        <v>1761</v>
      </c>
      <c r="N148" s="13"/>
    </row>
    <row r="149" spans="1:14" ht="45" customHeight="1">
      <c r="A149" s="14" t="s">
        <v>1934</v>
      </c>
      <c r="B149" s="14" t="s">
        <v>318</v>
      </c>
      <c r="C149" s="14" t="s">
        <v>1641</v>
      </c>
      <c r="D149" s="14" t="s">
        <v>481</v>
      </c>
      <c r="E149" s="14" t="s">
        <v>1635</v>
      </c>
      <c r="F149" s="14" t="s">
        <v>607</v>
      </c>
      <c r="G149" s="14" t="s">
        <v>608</v>
      </c>
      <c r="H149" s="14" t="s">
        <v>565</v>
      </c>
      <c r="I149" s="14">
        <v>3</v>
      </c>
      <c r="J149" s="14"/>
      <c r="K149" s="14" t="s">
        <v>1808</v>
      </c>
      <c r="L149" s="14" t="s">
        <v>1809</v>
      </c>
      <c r="M149" s="14" t="s">
        <v>1761</v>
      </c>
      <c r="N149" s="14"/>
    </row>
    <row r="150" spans="1:14" ht="45" customHeight="1">
      <c r="A150" s="13" t="s">
        <v>1935</v>
      </c>
      <c r="B150" s="13" t="s">
        <v>318</v>
      </c>
      <c r="C150" s="13" t="s">
        <v>1641</v>
      </c>
      <c r="D150" s="13" t="s">
        <v>481</v>
      </c>
      <c r="E150" s="13" t="s">
        <v>1635</v>
      </c>
      <c r="F150" s="13" t="s">
        <v>614</v>
      </c>
      <c r="G150" s="13" t="s">
        <v>615</v>
      </c>
      <c r="H150" s="13" t="s">
        <v>565</v>
      </c>
      <c r="I150" s="13">
        <v>3</v>
      </c>
      <c r="J150" s="13"/>
      <c r="K150" s="13" t="s">
        <v>1808</v>
      </c>
      <c r="L150" s="13" t="s">
        <v>1809</v>
      </c>
      <c r="M150" s="13" t="s">
        <v>1761</v>
      </c>
      <c r="N150" s="13"/>
    </row>
    <row r="151" spans="1:14" ht="45" customHeight="1">
      <c r="A151" s="14" t="s">
        <v>1936</v>
      </c>
      <c r="B151" s="14" t="s">
        <v>318</v>
      </c>
      <c r="C151" s="14" t="s">
        <v>1641</v>
      </c>
      <c r="D151" s="14" t="s">
        <v>481</v>
      </c>
      <c r="E151" s="14" t="s">
        <v>1635</v>
      </c>
      <c r="F151" s="14" t="s">
        <v>621</v>
      </c>
      <c r="G151" s="14" t="s">
        <v>622</v>
      </c>
      <c r="H151" s="14" t="s">
        <v>565</v>
      </c>
      <c r="I151" s="14">
        <v>3</v>
      </c>
      <c r="J151" s="14"/>
      <c r="K151" s="14" t="s">
        <v>1808</v>
      </c>
      <c r="L151" s="14" t="s">
        <v>1809</v>
      </c>
      <c r="M151" s="14" t="s">
        <v>1761</v>
      </c>
      <c r="N151" s="14"/>
    </row>
    <row r="152" spans="1:14" ht="45" customHeight="1">
      <c r="A152" s="13" t="s">
        <v>1937</v>
      </c>
      <c r="B152" s="13" t="s">
        <v>318</v>
      </c>
      <c r="C152" s="13" t="s">
        <v>1641</v>
      </c>
      <c r="D152" s="13" t="s">
        <v>481</v>
      </c>
      <c r="E152" s="13" t="s">
        <v>1635</v>
      </c>
      <c r="F152" s="13" t="s">
        <v>628</v>
      </c>
      <c r="G152" s="13" t="s">
        <v>629</v>
      </c>
      <c r="H152" s="13" t="s">
        <v>630</v>
      </c>
      <c r="I152" s="13">
        <v>3</v>
      </c>
      <c r="J152" s="13"/>
      <c r="K152" s="13" t="s">
        <v>1808</v>
      </c>
      <c r="L152" s="13" t="s">
        <v>1809</v>
      </c>
      <c r="M152" s="13" t="s">
        <v>1761</v>
      </c>
      <c r="N152" s="13"/>
    </row>
    <row r="153" spans="1:14" ht="45" customHeight="1">
      <c r="A153" s="14" t="s">
        <v>1938</v>
      </c>
      <c r="B153" s="14" t="s">
        <v>318</v>
      </c>
      <c r="C153" s="14" t="s">
        <v>1641</v>
      </c>
      <c r="D153" s="14" t="s">
        <v>481</v>
      </c>
      <c r="E153" s="14" t="s">
        <v>1635</v>
      </c>
      <c r="F153" s="14" t="s">
        <v>636</v>
      </c>
      <c r="G153" s="14" t="s">
        <v>637</v>
      </c>
      <c r="H153" s="14" t="s">
        <v>630</v>
      </c>
      <c r="I153" s="14">
        <v>3</v>
      </c>
      <c r="J153" s="14"/>
      <c r="K153" s="14" t="s">
        <v>1808</v>
      </c>
      <c r="L153" s="14" t="s">
        <v>1809</v>
      </c>
      <c r="M153" s="14" t="s">
        <v>1761</v>
      </c>
      <c r="N153" s="14"/>
    </row>
    <row r="154" spans="1:14" ht="45" customHeight="1">
      <c r="A154" s="13" t="s">
        <v>1939</v>
      </c>
      <c r="B154" s="13" t="s">
        <v>318</v>
      </c>
      <c r="C154" s="13" t="s">
        <v>1643</v>
      </c>
      <c r="D154" s="13" t="s">
        <v>481</v>
      </c>
      <c r="E154" s="13" t="s">
        <v>1635</v>
      </c>
      <c r="F154" s="13" t="s">
        <v>563</v>
      </c>
      <c r="G154" s="13" t="s">
        <v>564</v>
      </c>
      <c r="H154" s="13" t="s">
        <v>565</v>
      </c>
      <c r="I154" s="13">
        <v>3</v>
      </c>
      <c r="J154" s="13">
        <v>3</v>
      </c>
      <c r="K154" s="13" t="s">
        <v>1785</v>
      </c>
      <c r="L154" s="13" t="s">
        <v>1786</v>
      </c>
      <c r="M154" s="13" t="s">
        <v>1762</v>
      </c>
      <c r="N154" s="13">
        <v>0.9</v>
      </c>
    </row>
    <row r="155" spans="1:14" ht="45" customHeight="1">
      <c r="A155" s="14" t="s">
        <v>1940</v>
      </c>
      <c r="B155" s="14" t="s">
        <v>318</v>
      </c>
      <c r="C155" s="14" t="s">
        <v>1643</v>
      </c>
      <c r="D155" s="14" t="s">
        <v>481</v>
      </c>
      <c r="E155" s="14" t="s">
        <v>1635</v>
      </c>
      <c r="F155" s="14" t="s">
        <v>572</v>
      </c>
      <c r="G155" s="14" t="s">
        <v>573</v>
      </c>
      <c r="H155" s="14" t="s">
        <v>565</v>
      </c>
      <c r="I155" s="14">
        <v>3</v>
      </c>
      <c r="J155" s="14">
        <v>3</v>
      </c>
      <c r="K155" s="14" t="s">
        <v>1785</v>
      </c>
      <c r="L155" s="14" t="s">
        <v>1786</v>
      </c>
      <c r="M155" s="14" t="s">
        <v>1762</v>
      </c>
      <c r="N155" s="14">
        <v>0.86</v>
      </c>
    </row>
    <row r="156" spans="1:14" ht="45" customHeight="1">
      <c r="A156" s="13" t="s">
        <v>1941</v>
      </c>
      <c r="B156" s="13" t="s">
        <v>318</v>
      </c>
      <c r="C156" s="13" t="s">
        <v>1643</v>
      </c>
      <c r="D156" s="13" t="s">
        <v>481</v>
      </c>
      <c r="E156" s="13" t="s">
        <v>1635</v>
      </c>
      <c r="F156" s="13" t="s">
        <v>579</v>
      </c>
      <c r="G156" s="13" t="s">
        <v>580</v>
      </c>
      <c r="H156" s="13" t="s">
        <v>565</v>
      </c>
      <c r="I156" s="13">
        <v>3</v>
      </c>
      <c r="J156" s="13">
        <v>2</v>
      </c>
      <c r="K156" s="13" t="s">
        <v>1785</v>
      </c>
      <c r="L156" s="13" t="s">
        <v>1788</v>
      </c>
      <c r="M156" s="13" t="s">
        <v>1762</v>
      </c>
      <c r="N156" s="13">
        <v>0.76</v>
      </c>
    </row>
    <row r="157" spans="1:14" ht="45" customHeight="1">
      <c r="A157" s="14" t="s">
        <v>1942</v>
      </c>
      <c r="B157" s="14" t="s">
        <v>318</v>
      </c>
      <c r="C157" s="14" t="s">
        <v>1643</v>
      </c>
      <c r="D157" s="14" t="s">
        <v>481</v>
      </c>
      <c r="E157" s="14" t="s">
        <v>1635</v>
      </c>
      <c r="F157" s="14" t="s">
        <v>586</v>
      </c>
      <c r="G157" s="14" t="s">
        <v>587</v>
      </c>
      <c r="H157" s="14" t="s">
        <v>565</v>
      </c>
      <c r="I157" s="14">
        <v>3</v>
      </c>
      <c r="J157" s="14">
        <v>2</v>
      </c>
      <c r="K157" s="14" t="s">
        <v>1785</v>
      </c>
      <c r="L157" s="14" t="s">
        <v>1788</v>
      </c>
      <c r="M157" s="14" t="s">
        <v>1762</v>
      </c>
      <c r="N157" s="14">
        <v>0.75</v>
      </c>
    </row>
    <row r="158" spans="1:14" ht="45" customHeight="1">
      <c r="A158" s="13" t="s">
        <v>1943</v>
      </c>
      <c r="B158" s="13" t="s">
        <v>318</v>
      </c>
      <c r="C158" s="13" t="s">
        <v>1643</v>
      </c>
      <c r="D158" s="13" t="s">
        <v>481</v>
      </c>
      <c r="E158" s="13" t="s">
        <v>1635</v>
      </c>
      <c r="F158" s="13" t="s">
        <v>600</v>
      </c>
      <c r="G158" s="13" t="s">
        <v>601</v>
      </c>
      <c r="H158" s="13" t="s">
        <v>565</v>
      </c>
      <c r="I158" s="13">
        <v>3</v>
      </c>
      <c r="J158" s="13">
        <v>3</v>
      </c>
      <c r="K158" s="13" t="s">
        <v>1785</v>
      </c>
      <c r="L158" s="13" t="s">
        <v>1786</v>
      </c>
      <c r="M158" s="13" t="s">
        <v>1762</v>
      </c>
      <c r="N158" s="13">
        <v>0.75</v>
      </c>
    </row>
    <row r="159" spans="1:14" ht="45" customHeight="1">
      <c r="A159" s="14" t="s">
        <v>1944</v>
      </c>
      <c r="B159" s="14" t="s">
        <v>318</v>
      </c>
      <c r="C159" s="14" t="s">
        <v>1643</v>
      </c>
      <c r="D159" s="14" t="s">
        <v>481</v>
      </c>
      <c r="E159" s="14" t="s">
        <v>1635</v>
      </c>
      <c r="F159" s="14" t="s">
        <v>607</v>
      </c>
      <c r="G159" s="14" t="s">
        <v>608</v>
      </c>
      <c r="H159" s="14" t="s">
        <v>565</v>
      </c>
      <c r="I159" s="14">
        <v>3</v>
      </c>
      <c r="J159" s="14">
        <v>2</v>
      </c>
      <c r="K159" s="14" t="s">
        <v>1785</v>
      </c>
      <c r="L159" s="14" t="s">
        <v>1786</v>
      </c>
      <c r="M159" s="14" t="s">
        <v>1762</v>
      </c>
      <c r="N159" s="14">
        <v>0.7</v>
      </c>
    </row>
    <row r="160" spans="1:14" ht="45" customHeight="1">
      <c r="A160" s="13" t="s">
        <v>1945</v>
      </c>
      <c r="B160" s="13" t="s">
        <v>318</v>
      </c>
      <c r="C160" s="13" t="s">
        <v>1643</v>
      </c>
      <c r="D160" s="13" t="s">
        <v>481</v>
      </c>
      <c r="E160" s="13" t="s">
        <v>1635</v>
      </c>
      <c r="F160" s="13" t="s">
        <v>614</v>
      </c>
      <c r="G160" s="13" t="s">
        <v>615</v>
      </c>
      <c r="H160" s="13" t="s">
        <v>565</v>
      </c>
      <c r="I160" s="13">
        <v>3</v>
      </c>
      <c r="J160" s="13">
        <v>2</v>
      </c>
      <c r="K160" s="13" t="s">
        <v>1785</v>
      </c>
      <c r="L160" s="13" t="s">
        <v>1786</v>
      </c>
      <c r="M160" s="13" t="s">
        <v>1762</v>
      </c>
      <c r="N160" s="13">
        <v>0.93</v>
      </c>
    </row>
    <row r="161" spans="1:14" ht="45" customHeight="1">
      <c r="A161" s="14" t="s">
        <v>1946</v>
      </c>
      <c r="B161" s="14" t="s">
        <v>318</v>
      </c>
      <c r="C161" s="14" t="s">
        <v>1643</v>
      </c>
      <c r="D161" s="14" t="s">
        <v>481</v>
      </c>
      <c r="E161" s="14" t="s">
        <v>1635</v>
      </c>
      <c r="F161" s="14" t="s">
        <v>621</v>
      </c>
      <c r="G161" s="14" t="s">
        <v>622</v>
      </c>
      <c r="H161" s="14" t="s">
        <v>565</v>
      </c>
      <c r="I161" s="14">
        <v>3</v>
      </c>
      <c r="J161" s="14">
        <v>2</v>
      </c>
      <c r="K161" s="14" t="s">
        <v>1785</v>
      </c>
      <c r="L161" s="14" t="s">
        <v>1786</v>
      </c>
      <c r="M161" s="14" t="s">
        <v>1762</v>
      </c>
      <c r="N161" s="14">
        <v>0.84</v>
      </c>
    </row>
    <row r="162" spans="1:14" ht="45" customHeight="1">
      <c r="A162" s="13" t="s">
        <v>1947</v>
      </c>
      <c r="B162" s="13" t="s">
        <v>318</v>
      </c>
      <c r="C162" s="13" t="s">
        <v>1643</v>
      </c>
      <c r="D162" s="13" t="s">
        <v>481</v>
      </c>
      <c r="E162" s="13" t="s">
        <v>1635</v>
      </c>
      <c r="F162" s="13" t="s">
        <v>628</v>
      </c>
      <c r="G162" s="13" t="s">
        <v>629</v>
      </c>
      <c r="H162" s="13" t="s">
        <v>630</v>
      </c>
      <c r="I162" s="13">
        <v>3</v>
      </c>
      <c r="J162" s="13">
        <v>3</v>
      </c>
      <c r="K162" s="13" t="s">
        <v>1785</v>
      </c>
      <c r="L162" s="13" t="s">
        <v>1786</v>
      </c>
      <c r="M162" s="13" t="s">
        <v>1762</v>
      </c>
      <c r="N162" s="13">
        <v>0.92</v>
      </c>
    </row>
    <row r="163" spans="1:14" ht="45" customHeight="1">
      <c r="A163" s="14" t="s">
        <v>1948</v>
      </c>
      <c r="B163" s="14" t="s">
        <v>318</v>
      </c>
      <c r="C163" s="14" t="s">
        <v>1643</v>
      </c>
      <c r="D163" s="14" t="s">
        <v>481</v>
      </c>
      <c r="E163" s="14" t="s">
        <v>1635</v>
      </c>
      <c r="F163" s="14" t="s">
        <v>636</v>
      </c>
      <c r="G163" s="14" t="s">
        <v>637</v>
      </c>
      <c r="H163" s="14" t="s">
        <v>630</v>
      </c>
      <c r="I163" s="14">
        <v>3</v>
      </c>
      <c r="J163" s="14">
        <v>3</v>
      </c>
      <c r="K163" s="14" t="s">
        <v>1785</v>
      </c>
      <c r="L163" s="14" t="s">
        <v>1786</v>
      </c>
      <c r="M163" s="14" t="s">
        <v>1762</v>
      </c>
      <c r="N163" s="14">
        <v>0.84</v>
      </c>
    </row>
    <row r="164" spans="1:14" ht="45" customHeight="1">
      <c r="A164" s="13" t="s">
        <v>1949</v>
      </c>
      <c r="B164" s="13" t="s">
        <v>318</v>
      </c>
      <c r="C164" s="13" t="s">
        <v>1645</v>
      </c>
      <c r="D164" s="13" t="s">
        <v>487</v>
      </c>
      <c r="E164" s="13" t="s">
        <v>1647</v>
      </c>
      <c r="F164" s="13" t="s">
        <v>563</v>
      </c>
      <c r="G164" s="13" t="s">
        <v>564</v>
      </c>
      <c r="H164" s="13" t="s">
        <v>565</v>
      </c>
      <c r="I164" s="13">
        <v>3</v>
      </c>
      <c r="J164" s="13">
        <v>1</v>
      </c>
      <c r="K164" s="13" t="s">
        <v>1785</v>
      </c>
      <c r="L164" s="13" t="s">
        <v>1788</v>
      </c>
      <c r="M164" s="13" t="s">
        <v>1763</v>
      </c>
      <c r="N164" s="13">
        <v>0.73</v>
      </c>
    </row>
    <row r="165" spans="1:14" ht="45" customHeight="1">
      <c r="A165" s="14" t="s">
        <v>1950</v>
      </c>
      <c r="B165" s="14" t="s">
        <v>318</v>
      </c>
      <c r="C165" s="14" t="s">
        <v>1645</v>
      </c>
      <c r="D165" s="14" t="s">
        <v>487</v>
      </c>
      <c r="E165" s="14" t="s">
        <v>1647</v>
      </c>
      <c r="F165" s="14" t="s">
        <v>572</v>
      </c>
      <c r="G165" s="14" t="s">
        <v>573</v>
      </c>
      <c r="H165" s="14" t="s">
        <v>565</v>
      </c>
      <c r="I165" s="14">
        <v>3</v>
      </c>
      <c r="J165" s="14">
        <v>2</v>
      </c>
      <c r="K165" s="14" t="s">
        <v>1785</v>
      </c>
      <c r="L165" s="14" t="s">
        <v>1788</v>
      </c>
      <c r="M165" s="14" t="s">
        <v>1763</v>
      </c>
      <c r="N165" s="14">
        <v>0.7</v>
      </c>
    </row>
    <row r="166" spans="1:14" ht="45" customHeight="1">
      <c r="A166" s="13" t="s">
        <v>1951</v>
      </c>
      <c r="B166" s="13" t="s">
        <v>318</v>
      </c>
      <c r="C166" s="13" t="s">
        <v>1645</v>
      </c>
      <c r="D166" s="13" t="s">
        <v>487</v>
      </c>
      <c r="E166" s="13" t="s">
        <v>1647</v>
      </c>
      <c r="F166" s="13" t="s">
        <v>579</v>
      </c>
      <c r="G166" s="13" t="s">
        <v>580</v>
      </c>
      <c r="H166" s="13" t="s">
        <v>565</v>
      </c>
      <c r="I166" s="13">
        <v>3</v>
      </c>
      <c r="J166" s="13">
        <v>2</v>
      </c>
      <c r="K166" s="13" t="s">
        <v>1785</v>
      </c>
      <c r="L166" s="13" t="s">
        <v>1786</v>
      </c>
      <c r="M166" s="13" t="s">
        <v>1763</v>
      </c>
      <c r="N166" s="13">
        <v>0.76</v>
      </c>
    </row>
    <row r="167" spans="1:14" ht="45" customHeight="1">
      <c r="A167" s="14" t="s">
        <v>1952</v>
      </c>
      <c r="B167" s="14" t="s">
        <v>318</v>
      </c>
      <c r="C167" s="14" t="s">
        <v>1645</v>
      </c>
      <c r="D167" s="14" t="s">
        <v>487</v>
      </c>
      <c r="E167" s="14" t="s">
        <v>1647</v>
      </c>
      <c r="F167" s="14" t="s">
        <v>586</v>
      </c>
      <c r="G167" s="14" t="s">
        <v>587</v>
      </c>
      <c r="H167" s="14" t="s">
        <v>565</v>
      </c>
      <c r="I167" s="14">
        <v>3</v>
      </c>
      <c r="J167" s="14">
        <v>2</v>
      </c>
      <c r="K167" s="14" t="s">
        <v>1785</v>
      </c>
      <c r="L167" s="14" t="s">
        <v>1786</v>
      </c>
      <c r="M167" s="14" t="s">
        <v>1763</v>
      </c>
      <c r="N167" s="14">
        <v>0.8</v>
      </c>
    </row>
    <row r="168" spans="1:14" ht="45" customHeight="1">
      <c r="A168" s="13" t="s">
        <v>1953</v>
      </c>
      <c r="B168" s="13" t="s">
        <v>318</v>
      </c>
      <c r="C168" s="13" t="s">
        <v>1645</v>
      </c>
      <c r="D168" s="13" t="s">
        <v>487</v>
      </c>
      <c r="E168" s="13" t="s">
        <v>1647</v>
      </c>
      <c r="F168" s="13" t="s">
        <v>600</v>
      </c>
      <c r="G168" s="13" t="s">
        <v>601</v>
      </c>
      <c r="H168" s="13" t="s">
        <v>565</v>
      </c>
      <c r="I168" s="13">
        <v>3</v>
      </c>
      <c r="J168" s="13">
        <v>2</v>
      </c>
      <c r="K168" s="13" t="s">
        <v>1785</v>
      </c>
      <c r="L168" s="13" t="s">
        <v>1786</v>
      </c>
      <c r="M168" s="13" t="s">
        <v>1763</v>
      </c>
      <c r="N168" s="13">
        <v>0.84</v>
      </c>
    </row>
    <row r="169" spans="1:14" ht="45" customHeight="1">
      <c r="A169" s="14" t="s">
        <v>1954</v>
      </c>
      <c r="B169" s="14" t="s">
        <v>318</v>
      </c>
      <c r="C169" s="14" t="s">
        <v>1645</v>
      </c>
      <c r="D169" s="14" t="s">
        <v>487</v>
      </c>
      <c r="E169" s="14" t="s">
        <v>1647</v>
      </c>
      <c r="F169" s="14" t="s">
        <v>607</v>
      </c>
      <c r="G169" s="14" t="s">
        <v>608</v>
      </c>
      <c r="H169" s="14" t="s">
        <v>565</v>
      </c>
      <c r="I169" s="14">
        <v>3</v>
      </c>
      <c r="J169" s="14">
        <v>2</v>
      </c>
      <c r="K169" s="14" t="s">
        <v>1785</v>
      </c>
      <c r="L169" s="14" t="s">
        <v>1786</v>
      </c>
      <c r="M169" s="14" t="s">
        <v>1763</v>
      </c>
      <c r="N169" s="14">
        <v>0.85</v>
      </c>
    </row>
    <row r="170" spans="1:14" ht="45" customHeight="1">
      <c r="A170" s="13" t="s">
        <v>1955</v>
      </c>
      <c r="B170" s="13" t="s">
        <v>318</v>
      </c>
      <c r="C170" s="13" t="s">
        <v>1645</v>
      </c>
      <c r="D170" s="13" t="s">
        <v>487</v>
      </c>
      <c r="E170" s="13" t="s">
        <v>1647</v>
      </c>
      <c r="F170" s="13" t="s">
        <v>614</v>
      </c>
      <c r="G170" s="13" t="s">
        <v>615</v>
      </c>
      <c r="H170" s="13" t="s">
        <v>565</v>
      </c>
      <c r="I170" s="13">
        <v>3</v>
      </c>
      <c r="J170" s="13">
        <v>2</v>
      </c>
      <c r="K170" s="13" t="s">
        <v>1785</v>
      </c>
      <c r="L170" s="13" t="s">
        <v>1788</v>
      </c>
      <c r="M170" s="13" t="s">
        <v>1763</v>
      </c>
      <c r="N170" s="13">
        <v>0.76</v>
      </c>
    </row>
    <row r="171" spans="1:14" ht="45" customHeight="1">
      <c r="A171" s="14" t="s">
        <v>1956</v>
      </c>
      <c r="B171" s="14" t="s">
        <v>318</v>
      </c>
      <c r="C171" s="14" t="s">
        <v>1645</v>
      </c>
      <c r="D171" s="14" t="s">
        <v>487</v>
      </c>
      <c r="E171" s="14" t="s">
        <v>1647</v>
      </c>
      <c r="F171" s="14" t="s">
        <v>621</v>
      </c>
      <c r="G171" s="14" t="s">
        <v>622</v>
      </c>
      <c r="H171" s="14" t="s">
        <v>565</v>
      </c>
      <c r="I171" s="14">
        <v>3</v>
      </c>
      <c r="J171" s="14">
        <v>3</v>
      </c>
      <c r="K171" s="14" t="s">
        <v>1785</v>
      </c>
      <c r="L171" s="14" t="s">
        <v>1786</v>
      </c>
      <c r="M171" s="14" t="s">
        <v>1763</v>
      </c>
      <c r="N171" s="14">
        <v>0.8</v>
      </c>
    </row>
    <row r="172" spans="1:14" ht="45" customHeight="1">
      <c r="A172" s="13" t="s">
        <v>1957</v>
      </c>
      <c r="B172" s="13" t="s">
        <v>318</v>
      </c>
      <c r="C172" s="13" t="s">
        <v>1645</v>
      </c>
      <c r="D172" s="13" t="s">
        <v>487</v>
      </c>
      <c r="E172" s="13" t="s">
        <v>1647</v>
      </c>
      <c r="F172" s="13" t="s">
        <v>628</v>
      </c>
      <c r="G172" s="13" t="s">
        <v>629</v>
      </c>
      <c r="H172" s="13" t="s">
        <v>630</v>
      </c>
      <c r="I172" s="13">
        <v>3</v>
      </c>
      <c r="J172" s="13">
        <v>2</v>
      </c>
      <c r="K172" s="13" t="s">
        <v>1785</v>
      </c>
      <c r="L172" s="13" t="s">
        <v>1786</v>
      </c>
      <c r="M172" s="13" t="s">
        <v>1763</v>
      </c>
      <c r="N172" s="13">
        <v>0.81</v>
      </c>
    </row>
    <row r="173" spans="1:14" ht="45" customHeight="1">
      <c r="A173" s="14" t="s">
        <v>1958</v>
      </c>
      <c r="B173" s="14" t="s">
        <v>318</v>
      </c>
      <c r="C173" s="14" t="s">
        <v>1645</v>
      </c>
      <c r="D173" s="14" t="s">
        <v>487</v>
      </c>
      <c r="E173" s="14" t="s">
        <v>1647</v>
      </c>
      <c r="F173" s="14" t="s">
        <v>636</v>
      </c>
      <c r="G173" s="14" t="s">
        <v>637</v>
      </c>
      <c r="H173" s="14" t="s">
        <v>630</v>
      </c>
      <c r="I173" s="14">
        <v>3</v>
      </c>
      <c r="J173" s="14">
        <v>2</v>
      </c>
      <c r="K173" s="14" t="s">
        <v>1785</v>
      </c>
      <c r="L173" s="14" t="s">
        <v>1786</v>
      </c>
      <c r="M173" s="14" t="s">
        <v>1763</v>
      </c>
      <c r="N173" s="14">
        <v>0.76</v>
      </c>
    </row>
    <row r="174" spans="1:14" ht="45" customHeight="1">
      <c r="A174" s="13" t="s">
        <v>1959</v>
      </c>
      <c r="B174" s="13" t="s">
        <v>318</v>
      </c>
      <c r="C174" s="13" t="s">
        <v>1650</v>
      </c>
      <c r="D174" s="13" t="s">
        <v>487</v>
      </c>
      <c r="E174" s="13" t="s">
        <v>1647</v>
      </c>
      <c r="F174" s="13" t="s">
        <v>563</v>
      </c>
      <c r="G174" s="13" t="s">
        <v>564</v>
      </c>
      <c r="H174" s="13" t="s">
        <v>565</v>
      </c>
      <c r="I174" s="13">
        <v>3</v>
      </c>
      <c r="J174" s="13">
        <v>2</v>
      </c>
      <c r="K174" s="13" t="s">
        <v>1785</v>
      </c>
      <c r="L174" s="13" t="s">
        <v>1786</v>
      </c>
      <c r="M174" s="13" t="s">
        <v>1764</v>
      </c>
      <c r="N174" s="13">
        <v>0.9</v>
      </c>
    </row>
    <row r="175" spans="1:14" ht="45" customHeight="1">
      <c r="A175" s="14" t="s">
        <v>1960</v>
      </c>
      <c r="B175" s="14" t="s">
        <v>318</v>
      </c>
      <c r="C175" s="14" t="s">
        <v>1650</v>
      </c>
      <c r="D175" s="14" t="s">
        <v>487</v>
      </c>
      <c r="E175" s="14" t="s">
        <v>1647</v>
      </c>
      <c r="F175" s="14" t="s">
        <v>572</v>
      </c>
      <c r="G175" s="14" t="s">
        <v>573</v>
      </c>
      <c r="H175" s="14" t="s">
        <v>565</v>
      </c>
      <c r="I175" s="14">
        <v>3</v>
      </c>
      <c r="J175" s="14">
        <v>3</v>
      </c>
      <c r="K175" s="14" t="s">
        <v>1785</v>
      </c>
      <c r="L175" s="14" t="s">
        <v>1786</v>
      </c>
      <c r="M175" s="14" t="s">
        <v>1764</v>
      </c>
      <c r="N175" s="14">
        <v>0.85</v>
      </c>
    </row>
    <row r="176" spans="1:14" ht="45" customHeight="1">
      <c r="A176" s="13" t="s">
        <v>1961</v>
      </c>
      <c r="B176" s="13" t="s">
        <v>318</v>
      </c>
      <c r="C176" s="13" t="s">
        <v>1650</v>
      </c>
      <c r="D176" s="13" t="s">
        <v>487</v>
      </c>
      <c r="E176" s="13" t="s">
        <v>1647</v>
      </c>
      <c r="F176" s="13" t="s">
        <v>579</v>
      </c>
      <c r="G176" s="13" t="s">
        <v>580</v>
      </c>
      <c r="H176" s="13" t="s">
        <v>565</v>
      </c>
      <c r="I176" s="13">
        <v>3</v>
      </c>
      <c r="J176" s="13">
        <v>2</v>
      </c>
      <c r="K176" s="13" t="s">
        <v>1785</v>
      </c>
      <c r="L176" s="13" t="s">
        <v>1786</v>
      </c>
      <c r="M176" s="13" t="s">
        <v>1764</v>
      </c>
      <c r="N176" s="13">
        <v>0.8</v>
      </c>
    </row>
    <row r="177" spans="1:14" ht="45" customHeight="1">
      <c r="A177" s="14" t="s">
        <v>1962</v>
      </c>
      <c r="B177" s="14" t="s">
        <v>318</v>
      </c>
      <c r="C177" s="14" t="s">
        <v>1650</v>
      </c>
      <c r="D177" s="14" t="s">
        <v>487</v>
      </c>
      <c r="E177" s="14" t="s">
        <v>1647</v>
      </c>
      <c r="F177" s="14" t="s">
        <v>586</v>
      </c>
      <c r="G177" s="14" t="s">
        <v>587</v>
      </c>
      <c r="H177" s="14" t="s">
        <v>565</v>
      </c>
      <c r="I177" s="14">
        <v>3</v>
      </c>
      <c r="J177" s="14">
        <v>3</v>
      </c>
      <c r="K177" s="14" t="s">
        <v>1785</v>
      </c>
      <c r="L177" s="14" t="s">
        <v>1788</v>
      </c>
      <c r="M177" s="14" t="s">
        <v>1764</v>
      </c>
      <c r="N177" s="14">
        <v>0.83</v>
      </c>
    </row>
    <row r="178" spans="1:14" ht="45" customHeight="1">
      <c r="A178" s="13" t="s">
        <v>1963</v>
      </c>
      <c r="B178" s="13" t="s">
        <v>318</v>
      </c>
      <c r="C178" s="13" t="s">
        <v>1650</v>
      </c>
      <c r="D178" s="13" t="s">
        <v>487</v>
      </c>
      <c r="E178" s="13" t="s">
        <v>1647</v>
      </c>
      <c r="F178" s="13" t="s">
        <v>600</v>
      </c>
      <c r="G178" s="13" t="s">
        <v>601</v>
      </c>
      <c r="H178" s="13" t="s">
        <v>565</v>
      </c>
      <c r="I178" s="13">
        <v>3</v>
      </c>
      <c r="J178" s="13">
        <v>3</v>
      </c>
      <c r="K178" s="13" t="s">
        <v>1785</v>
      </c>
      <c r="L178" s="13" t="s">
        <v>1786</v>
      </c>
      <c r="M178" s="13" t="s">
        <v>1764</v>
      </c>
      <c r="N178" s="13">
        <v>0.79</v>
      </c>
    </row>
    <row r="179" spans="1:14" ht="45" customHeight="1">
      <c r="A179" s="14" t="s">
        <v>1964</v>
      </c>
      <c r="B179" s="14" t="s">
        <v>318</v>
      </c>
      <c r="C179" s="14" t="s">
        <v>1650</v>
      </c>
      <c r="D179" s="14" t="s">
        <v>487</v>
      </c>
      <c r="E179" s="14" t="s">
        <v>1647</v>
      </c>
      <c r="F179" s="14" t="s">
        <v>607</v>
      </c>
      <c r="G179" s="14" t="s">
        <v>608</v>
      </c>
      <c r="H179" s="14" t="s">
        <v>565</v>
      </c>
      <c r="I179" s="14">
        <v>3</v>
      </c>
      <c r="J179" s="14">
        <v>3</v>
      </c>
      <c r="K179" s="14" t="s">
        <v>1785</v>
      </c>
      <c r="L179" s="14" t="s">
        <v>1786</v>
      </c>
      <c r="M179" s="14" t="s">
        <v>1764</v>
      </c>
      <c r="N179" s="14">
        <v>0.86</v>
      </c>
    </row>
    <row r="180" spans="1:14" ht="45" customHeight="1">
      <c r="A180" s="13" t="s">
        <v>1965</v>
      </c>
      <c r="B180" s="13" t="s">
        <v>318</v>
      </c>
      <c r="C180" s="13" t="s">
        <v>1650</v>
      </c>
      <c r="D180" s="13" t="s">
        <v>487</v>
      </c>
      <c r="E180" s="13" t="s">
        <v>1647</v>
      </c>
      <c r="F180" s="13" t="s">
        <v>614</v>
      </c>
      <c r="G180" s="13" t="s">
        <v>615</v>
      </c>
      <c r="H180" s="13" t="s">
        <v>565</v>
      </c>
      <c r="I180" s="13">
        <v>3</v>
      </c>
      <c r="J180" s="13">
        <v>3</v>
      </c>
      <c r="K180" s="13" t="s">
        <v>1785</v>
      </c>
      <c r="L180" s="13" t="s">
        <v>1786</v>
      </c>
      <c r="M180" s="13" t="s">
        <v>1764</v>
      </c>
      <c r="N180" s="13">
        <v>0.8</v>
      </c>
    </row>
    <row r="181" spans="1:14" ht="45" customHeight="1">
      <c r="A181" s="14" t="s">
        <v>1966</v>
      </c>
      <c r="B181" s="14" t="s">
        <v>318</v>
      </c>
      <c r="C181" s="14" t="s">
        <v>1650</v>
      </c>
      <c r="D181" s="14" t="s">
        <v>487</v>
      </c>
      <c r="E181" s="14" t="s">
        <v>1647</v>
      </c>
      <c r="F181" s="14" t="s">
        <v>621</v>
      </c>
      <c r="G181" s="14" t="s">
        <v>622</v>
      </c>
      <c r="H181" s="14" t="s">
        <v>565</v>
      </c>
      <c r="I181" s="14">
        <v>3</v>
      </c>
      <c r="J181" s="14">
        <v>3</v>
      </c>
      <c r="K181" s="14" t="s">
        <v>1785</v>
      </c>
      <c r="L181" s="14" t="s">
        <v>1786</v>
      </c>
      <c r="M181" s="14" t="s">
        <v>1764</v>
      </c>
      <c r="N181" s="14">
        <v>0.79</v>
      </c>
    </row>
    <row r="182" spans="1:14" ht="45" customHeight="1">
      <c r="A182" s="13" t="s">
        <v>1967</v>
      </c>
      <c r="B182" s="13" t="s">
        <v>318</v>
      </c>
      <c r="C182" s="13" t="s">
        <v>1650</v>
      </c>
      <c r="D182" s="13" t="s">
        <v>487</v>
      </c>
      <c r="E182" s="13" t="s">
        <v>1647</v>
      </c>
      <c r="F182" s="13" t="s">
        <v>628</v>
      </c>
      <c r="G182" s="13" t="s">
        <v>629</v>
      </c>
      <c r="H182" s="13" t="s">
        <v>630</v>
      </c>
      <c r="I182" s="13">
        <v>3</v>
      </c>
      <c r="J182" s="13">
        <v>3</v>
      </c>
      <c r="K182" s="13" t="s">
        <v>1785</v>
      </c>
      <c r="L182" s="13" t="s">
        <v>1786</v>
      </c>
      <c r="M182" s="13" t="s">
        <v>1764</v>
      </c>
      <c r="N182" s="13">
        <v>0.79</v>
      </c>
    </row>
    <row r="183" spans="1:14" ht="45" customHeight="1">
      <c r="A183" s="14" t="s">
        <v>1968</v>
      </c>
      <c r="B183" s="14" t="s">
        <v>318</v>
      </c>
      <c r="C183" s="14" t="s">
        <v>1650</v>
      </c>
      <c r="D183" s="14" t="s">
        <v>487</v>
      </c>
      <c r="E183" s="14" t="s">
        <v>1647</v>
      </c>
      <c r="F183" s="14" t="s">
        <v>636</v>
      </c>
      <c r="G183" s="14" t="s">
        <v>637</v>
      </c>
      <c r="H183" s="14" t="s">
        <v>630</v>
      </c>
      <c r="I183" s="14">
        <v>3</v>
      </c>
      <c r="J183" s="14">
        <v>3</v>
      </c>
      <c r="K183" s="14" t="s">
        <v>1785</v>
      </c>
      <c r="L183" s="14" t="s">
        <v>1786</v>
      </c>
      <c r="M183" s="14" t="s">
        <v>1764</v>
      </c>
      <c r="N183" s="14">
        <v>0.84</v>
      </c>
    </row>
    <row r="184" spans="1:14" ht="45" customHeight="1">
      <c r="A184" s="13" t="s">
        <v>1969</v>
      </c>
      <c r="B184" s="13" t="s">
        <v>318</v>
      </c>
      <c r="C184" s="13" t="s">
        <v>1652</v>
      </c>
      <c r="D184" s="13" t="s">
        <v>487</v>
      </c>
      <c r="E184" s="13" t="s">
        <v>1647</v>
      </c>
      <c r="F184" s="13" t="s">
        <v>563</v>
      </c>
      <c r="G184" s="13" t="s">
        <v>564</v>
      </c>
      <c r="H184" s="13" t="s">
        <v>565</v>
      </c>
      <c r="I184" s="13">
        <v>3</v>
      </c>
      <c r="J184" s="13">
        <v>2</v>
      </c>
      <c r="K184" s="13" t="s">
        <v>1785</v>
      </c>
      <c r="L184" s="13" t="s">
        <v>1788</v>
      </c>
      <c r="M184" s="13" t="s">
        <v>1765</v>
      </c>
      <c r="N184" s="13">
        <v>0.75</v>
      </c>
    </row>
    <row r="185" spans="1:14" ht="45" customHeight="1">
      <c r="A185" s="14" t="s">
        <v>1970</v>
      </c>
      <c r="B185" s="14" t="s">
        <v>318</v>
      </c>
      <c r="C185" s="14" t="s">
        <v>1652</v>
      </c>
      <c r="D185" s="14" t="s">
        <v>487</v>
      </c>
      <c r="E185" s="14" t="s">
        <v>1647</v>
      </c>
      <c r="F185" s="14" t="s">
        <v>572</v>
      </c>
      <c r="G185" s="14" t="s">
        <v>573</v>
      </c>
      <c r="H185" s="14" t="s">
        <v>565</v>
      </c>
      <c r="I185" s="14">
        <v>3</v>
      </c>
      <c r="J185" s="14">
        <v>2</v>
      </c>
      <c r="K185" s="14" t="s">
        <v>1785</v>
      </c>
      <c r="L185" s="14" t="s">
        <v>1786</v>
      </c>
      <c r="M185" s="14" t="s">
        <v>1765</v>
      </c>
      <c r="N185" s="14">
        <v>0.84</v>
      </c>
    </row>
    <row r="186" spans="1:14" ht="45" customHeight="1">
      <c r="A186" s="13" t="s">
        <v>1971</v>
      </c>
      <c r="B186" s="13" t="s">
        <v>318</v>
      </c>
      <c r="C186" s="13" t="s">
        <v>1652</v>
      </c>
      <c r="D186" s="13" t="s">
        <v>487</v>
      </c>
      <c r="E186" s="13" t="s">
        <v>1647</v>
      </c>
      <c r="F186" s="13" t="s">
        <v>579</v>
      </c>
      <c r="G186" s="13" t="s">
        <v>580</v>
      </c>
      <c r="H186" s="13" t="s">
        <v>565</v>
      </c>
      <c r="I186" s="13">
        <v>3</v>
      </c>
      <c r="J186" s="13">
        <v>2</v>
      </c>
      <c r="K186" s="13" t="s">
        <v>1785</v>
      </c>
      <c r="L186" s="13" t="s">
        <v>1788</v>
      </c>
      <c r="M186" s="13" t="s">
        <v>1765</v>
      </c>
      <c r="N186" s="13">
        <v>0.79</v>
      </c>
    </row>
    <row r="187" spans="1:14" ht="45" customHeight="1">
      <c r="A187" s="14" t="s">
        <v>1972</v>
      </c>
      <c r="B187" s="14" t="s">
        <v>318</v>
      </c>
      <c r="C187" s="14" t="s">
        <v>1652</v>
      </c>
      <c r="D187" s="14" t="s">
        <v>487</v>
      </c>
      <c r="E187" s="14" t="s">
        <v>1647</v>
      </c>
      <c r="F187" s="14" t="s">
        <v>586</v>
      </c>
      <c r="G187" s="14" t="s">
        <v>587</v>
      </c>
      <c r="H187" s="14" t="s">
        <v>565</v>
      </c>
      <c r="I187" s="14">
        <v>3</v>
      </c>
      <c r="J187" s="14">
        <v>1</v>
      </c>
      <c r="K187" s="14" t="s">
        <v>1785</v>
      </c>
      <c r="L187" s="14" t="s">
        <v>1788</v>
      </c>
      <c r="M187" s="14" t="s">
        <v>1765</v>
      </c>
      <c r="N187" s="14">
        <v>0.9</v>
      </c>
    </row>
    <row r="188" spans="1:14" ht="45" customHeight="1">
      <c r="A188" s="13" t="s">
        <v>1973</v>
      </c>
      <c r="B188" s="13" t="s">
        <v>318</v>
      </c>
      <c r="C188" s="13" t="s">
        <v>1652</v>
      </c>
      <c r="D188" s="13" t="s">
        <v>487</v>
      </c>
      <c r="E188" s="13" t="s">
        <v>1647</v>
      </c>
      <c r="F188" s="13" t="s">
        <v>600</v>
      </c>
      <c r="G188" s="13" t="s">
        <v>601</v>
      </c>
      <c r="H188" s="13" t="s">
        <v>565</v>
      </c>
      <c r="I188" s="13">
        <v>3</v>
      </c>
      <c r="J188" s="13">
        <v>2</v>
      </c>
      <c r="K188" s="13" t="s">
        <v>1785</v>
      </c>
      <c r="L188" s="13" t="s">
        <v>1786</v>
      </c>
      <c r="M188" s="13" t="s">
        <v>1765</v>
      </c>
      <c r="N188" s="13">
        <v>0.9</v>
      </c>
    </row>
    <row r="189" spans="1:14" ht="45" customHeight="1">
      <c r="A189" s="14" t="s">
        <v>1974</v>
      </c>
      <c r="B189" s="14" t="s">
        <v>318</v>
      </c>
      <c r="C189" s="14" t="s">
        <v>1652</v>
      </c>
      <c r="D189" s="14" t="s">
        <v>487</v>
      </c>
      <c r="E189" s="14" t="s">
        <v>1647</v>
      </c>
      <c r="F189" s="14" t="s">
        <v>607</v>
      </c>
      <c r="G189" s="14" t="s">
        <v>608</v>
      </c>
      <c r="H189" s="14" t="s">
        <v>565</v>
      </c>
      <c r="I189" s="14">
        <v>3</v>
      </c>
      <c r="J189" s="14">
        <v>2</v>
      </c>
      <c r="K189" s="14" t="s">
        <v>1785</v>
      </c>
      <c r="L189" s="14" t="s">
        <v>1788</v>
      </c>
      <c r="M189" s="14" t="s">
        <v>1765</v>
      </c>
      <c r="N189" s="14">
        <v>0.73</v>
      </c>
    </row>
    <row r="190" spans="1:14" ht="45" customHeight="1">
      <c r="A190" s="13" t="s">
        <v>1975</v>
      </c>
      <c r="B190" s="13" t="s">
        <v>318</v>
      </c>
      <c r="C190" s="13" t="s">
        <v>1652</v>
      </c>
      <c r="D190" s="13" t="s">
        <v>487</v>
      </c>
      <c r="E190" s="13" t="s">
        <v>1647</v>
      </c>
      <c r="F190" s="13" t="s">
        <v>614</v>
      </c>
      <c r="G190" s="13" t="s">
        <v>615</v>
      </c>
      <c r="H190" s="13" t="s">
        <v>565</v>
      </c>
      <c r="I190" s="13">
        <v>3</v>
      </c>
      <c r="J190" s="13">
        <v>3</v>
      </c>
      <c r="K190" s="13" t="s">
        <v>1785</v>
      </c>
      <c r="L190" s="13" t="s">
        <v>1788</v>
      </c>
      <c r="M190" s="13" t="s">
        <v>1765</v>
      </c>
      <c r="N190" s="13">
        <v>0.7</v>
      </c>
    </row>
    <row r="191" spans="1:14" ht="45" customHeight="1">
      <c r="A191" s="14" t="s">
        <v>1976</v>
      </c>
      <c r="B191" s="14" t="s">
        <v>318</v>
      </c>
      <c r="C191" s="14" t="s">
        <v>1652</v>
      </c>
      <c r="D191" s="14" t="s">
        <v>487</v>
      </c>
      <c r="E191" s="14" t="s">
        <v>1647</v>
      </c>
      <c r="F191" s="14" t="s">
        <v>621</v>
      </c>
      <c r="G191" s="14" t="s">
        <v>622</v>
      </c>
      <c r="H191" s="14" t="s">
        <v>565</v>
      </c>
      <c r="I191" s="14">
        <v>3</v>
      </c>
      <c r="J191" s="14">
        <v>2</v>
      </c>
      <c r="K191" s="14" t="s">
        <v>1785</v>
      </c>
      <c r="L191" s="14" t="s">
        <v>1786</v>
      </c>
      <c r="M191" s="14" t="s">
        <v>1765</v>
      </c>
      <c r="N191" s="14">
        <v>0.89</v>
      </c>
    </row>
    <row r="192" spans="1:14" ht="45" customHeight="1">
      <c r="A192" s="13" t="s">
        <v>1977</v>
      </c>
      <c r="B192" s="13" t="s">
        <v>318</v>
      </c>
      <c r="C192" s="13" t="s">
        <v>1652</v>
      </c>
      <c r="D192" s="13" t="s">
        <v>487</v>
      </c>
      <c r="E192" s="13" t="s">
        <v>1647</v>
      </c>
      <c r="F192" s="13" t="s">
        <v>628</v>
      </c>
      <c r="G192" s="13" t="s">
        <v>629</v>
      </c>
      <c r="H192" s="13" t="s">
        <v>630</v>
      </c>
      <c r="I192" s="13">
        <v>3</v>
      </c>
      <c r="J192" s="13">
        <v>2</v>
      </c>
      <c r="K192" s="13" t="s">
        <v>1785</v>
      </c>
      <c r="L192" s="13" t="s">
        <v>1786</v>
      </c>
      <c r="M192" s="13" t="s">
        <v>1765</v>
      </c>
      <c r="N192" s="13">
        <v>0.85</v>
      </c>
    </row>
    <row r="193" spans="1:14" ht="45" customHeight="1">
      <c r="A193" s="14" t="s">
        <v>1978</v>
      </c>
      <c r="B193" s="14" t="s">
        <v>318</v>
      </c>
      <c r="C193" s="14" t="s">
        <v>1652</v>
      </c>
      <c r="D193" s="14" t="s">
        <v>487</v>
      </c>
      <c r="E193" s="14" t="s">
        <v>1647</v>
      </c>
      <c r="F193" s="14" t="s">
        <v>636</v>
      </c>
      <c r="G193" s="14" t="s">
        <v>637</v>
      </c>
      <c r="H193" s="14" t="s">
        <v>630</v>
      </c>
      <c r="I193" s="14">
        <v>3</v>
      </c>
      <c r="J193" s="14">
        <v>2</v>
      </c>
      <c r="K193" s="14" t="s">
        <v>1785</v>
      </c>
      <c r="L193" s="14" t="s">
        <v>1786</v>
      </c>
      <c r="M193" s="14" t="s">
        <v>1765</v>
      </c>
      <c r="N193" s="14">
        <v>0.82</v>
      </c>
    </row>
    <row r="194" spans="1:14" ht="45" customHeight="1">
      <c r="A194" s="13" t="s">
        <v>1979</v>
      </c>
      <c r="B194" s="13" t="s">
        <v>318</v>
      </c>
      <c r="C194" s="13" t="s">
        <v>1654</v>
      </c>
      <c r="D194" s="13" t="s">
        <v>487</v>
      </c>
      <c r="E194" s="13" t="s">
        <v>1647</v>
      </c>
      <c r="F194" s="13" t="s">
        <v>563</v>
      </c>
      <c r="G194" s="13" t="s">
        <v>564</v>
      </c>
      <c r="H194" s="13" t="s">
        <v>565</v>
      </c>
      <c r="I194" s="13">
        <v>3</v>
      </c>
      <c r="J194" s="13">
        <v>2</v>
      </c>
      <c r="K194" s="13" t="s">
        <v>1785</v>
      </c>
      <c r="L194" s="13" t="s">
        <v>1786</v>
      </c>
      <c r="M194" s="13" t="s">
        <v>1766</v>
      </c>
      <c r="N194" s="13">
        <v>0.73</v>
      </c>
    </row>
    <row r="195" spans="1:14" ht="45" customHeight="1">
      <c r="A195" s="14" t="s">
        <v>1980</v>
      </c>
      <c r="B195" s="14" t="s">
        <v>318</v>
      </c>
      <c r="C195" s="14" t="s">
        <v>1654</v>
      </c>
      <c r="D195" s="14" t="s">
        <v>487</v>
      </c>
      <c r="E195" s="14" t="s">
        <v>1647</v>
      </c>
      <c r="F195" s="14" t="s">
        <v>572</v>
      </c>
      <c r="G195" s="14" t="s">
        <v>573</v>
      </c>
      <c r="H195" s="14" t="s">
        <v>565</v>
      </c>
      <c r="I195" s="14">
        <v>3</v>
      </c>
      <c r="J195" s="14">
        <v>2</v>
      </c>
      <c r="K195" s="14" t="s">
        <v>1785</v>
      </c>
      <c r="L195" s="14" t="s">
        <v>1788</v>
      </c>
      <c r="M195" s="14" t="s">
        <v>1766</v>
      </c>
      <c r="N195" s="14">
        <v>0.88</v>
      </c>
    </row>
    <row r="196" spans="1:14" ht="45" customHeight="1">
      <c r="A196" s="13" t="s">
        <v>1981</v>
      </c>
      <c r="B196" s="13" t="s">
        <v>318</v>
      </c>
      <c r="C196" s="13" t="s">
        <v>1654</v>
      </c>
      <c r="D196" s="13" t="s">
        <v>487</v>
      </c>
      <c r="E196" s="13" t="s">
        <v>1647</v>
      </c>
      <c r="F196" s="13" t="s">
        <v>579</v>
      </c>
      <c r="G196" s="13" t="s">
        <v>580</v>
      </c>
      <c r="H196" s="13" t="s">
        <v>565</v>
      </c>
      <c r="I196" s="13">
        <v>3</v>
      </c>
      <c r="J196" s="13">
        <v>2</v>
      </c>
      <c r="K196" s="13" t="s">
        <v>1785</v>
      </c>
      <c r="L196" s="13" t="s">
        <v>1786</v>
      </c>
      <c r="M196" s="13" t="s">
        <v>1766</v>
      </c>
      <c r="N196" s="13">
        <v>0.89</v>
      </c>
    </row>
    <row r="197" spans="1:14" ht="45" customHeight="1">
      <c r="A197" s="14" t="s">
        <v>1982</v>
      </c>
      <c r="B197" s="14" t="s">
        <v>318</v>
      </c>
      <c r="C197" s="14" t="s">
        <v>1654</v>
      </c>
      <c r="D197" s="14" t="s">
        <v>487</v>
      </c>
      <c r="E197" s="14" t="s">
        <v>1647</v>
      </c>
      <c r="F197" s="14" t="s">
        <v>586</v>
      </c>
      <c r="G197" s="14" t="s">
        <v>587</v>
      </c>
      <c r="H197" s="14" t="s">
        <v>565</v>
      </c>
      <c r="I197" s="14">
        <v>3</v>
      </c>
      <c r="J197" s="14">
        <v>2</v>
      </c>
      <c r="K197" s="14" t="s">
        <v>1785</v>
      </c>
      <c r="L197" s="14" t="s">
        <v>1788</v>
      </c>
      <c r="M197" s="14" t="s">
        <v>1766</v>
      </c>
      <c r="N197" s="14">
        <v>0.81</v>
      </c>
    </row>
    <row r="198" spans="1:14" ht="45" customHeight="1">
      <c r="A198" s="13" t="s">
        <v>1983</v>
      </c>
      <c r="B198" s="13" t="s">
        <v>318</v>
      </c>
      <c r="C198" s="13" t="s">
        <v>1654</v>
      </c>
      <c r="D198" s="13" t="s">
        <v>487</v>
      </c>
      <c r="E198" s="13" t="s">
        <v>1647</v>
      </c>
      <c r="F198" s="13" t="s">
        <v>600</v>
      </c>
      <c r="G198" s="13" t="s">
        <v>601</v>
      </c>
      <c r="H198" s="13" t="s">
        <v>565</v>
      </c>
      <c r="I198" s="13">
        <v>3</v>
      </c>
      <c r="J198" s="13">
        <v>2</v>
      </c>
      <c r="K198" s="13" t="s">
        <v>1785</v>
      </c>
      <c r="L198" s="13" t="s">
        <v>1786</v>
      </c>
      <c r="M198" s="13" t="s">
        <v>1766</v>
      </c>
      <c r="N198" s="13">
        <v>0.79</v>
      </c>
    </row>
    <row r="199" spans="1:14" ht="45" customHeight="1">
      <c r="A199" s="14" t="s">
        <v>1984</v>
      </c>
      <c r="B199" s="14" t="s">
        <v>318</v>
      </c>
      <c r="C199" s="14" t="s">
        <v>1654</v>
      </c>
      <c r="D199" s="14" t="s">
        <v>487</v>
      </c>
      <c r="E199" s="14" t="s">
        <v>1647</v>
      </c>
      <c r="F199" s="14" t="s">
        <v>607</v>
      </c>
      <c r="G199" s="14" t="s">
        <v>608</v>
      </c>
      <c r="H199" s="14" t="s">
        <v>565</v>
      </c>
      <c r="I199" s="14">
        <v>3</v>
      </c>
      <c r="J199" s="14">
        <v>2</v>
      </c>
      <c r="K199" s="14" t="s">
        <v>1785</v>
      </c>
      <c r="L199" s="14" t="s">
        <v>1788</v>
      </c>
      <c r="M199" s="14" t="s">
        <v>1766</v>
      </c>
      <c r="N199" s="14">
        <v>0.91</v>
      </c>
    </row>
    <row r="200" spans="1:14" ht="45" customHeight="1">
      <c r="A200" s="13" t="s">
        <v>1985</v>
      </c>
      <c r="B200" s="13" t="s">
        <v>318</v>
      </c>
      <c r="C200" s="13" t="s">
        <v>1654</v>
      </c>
      <c r="D200" s="13" t="s">
        <v>487</v>
      </c>
      <c r="E200" s="13" t="s">
        <v>1647</v>
      </c>
      <c r="F200" s="13" t="s">
        <v>614</v>
      </c>
      <c r="G200" s="13" t="s">
        <v>615</v>
      </c>
      <c r="H200" s="13" t="s">
        <v>565</v>
      </c>
      <c r="I200" s="13">
        <v>3</v>
      </c>
      <c r="J200" s="13">
        <v>1</v>
      </c>
      <c r="K200" s="13" t="s">
        <v>1785</v>
      </c>
      <c r="L200" s="13" t="s">
        <v>1786</v>
      </c>
      <c r="M200" s="13" t="s">
        <v>1766</v>
      </c>
      <c r="N200" s="13">
        <v>0.77</v>
      </c>
    </row>
    <row r="201" spans="1:14" ht="45" customHeight="1">
      <c r="A201" s="14" t="s">
        <v>1986</v>
      </c>
      <c r="B201" s="14" t="s">
        <v>318</v>
      </c>
      <c r="C201" s="14" t="s">
        <v>1654</v>
      </c>
      <c r="D201" s="14" t="s">
        <v>487</v>
      </c>
      <c r="E201" s="14" t="s">
        <v>1647</v>
      </c>
      <c r="F201" s="14" t="s">
        <v>621</v>
      </c>
      <c r="G201" s="14" t="s">
        <v>622</v>
      </c>
      <c r="H201" s="14" t="s">
        <v>565</v>
      </c>
      <c r="I201" s="14">
        <v>3</v>
      </c>
      <c r="J201" s="14">
        <v>2</v>
      </c>
      <c r="K201" s="14" t="s">
        <v>1785</v>
      </c>
      <c r="L201" s="14" t="s">
        <v>1786</v>
      </c>
      <c r="M201" s="14" t="s">
        <v>1766</v>
      </c>
      <c r="N201" s="14">
        <v>0.9</v>
      </c>
    </row>
    <row r="202" spans="1:14" ht="45" customHeight="1">
      <c r="A202" s="13" t="s">
        <v>1987</v>
      </c>
      <c r="B202" s="13" t="s">
        <v>318</v>
      </c>
      <c r="C202" s="13" t="s">
        <v>1654</v>
      </c>
      <c r="D202" s="13" t="s">
        <v>487</v>
      </c>
      <c r="E202" s="13" t="s">
        <v>1647</v>
      </c>
      <c r="F202" s="13" t="s">
        <v>628</v>
      </c>
      <c r="G202" s="13" t="s">
        <v>629</v>
      </c>
      <c r="H202" s="13" t="s">
        <v>630</v>
      </c>
      <c r="I202" s="13">
        <v>3</v>
      </c>
      <c r="J202" s="13">
        <v>2</v>
      </c>
      <c r="K202" s="13" t="s">
        <v>1785</v>
      </c>
      <c r="L202" s="13" t="s">
        <v>1786</v>
      </c>
      <c r="M202" s="13" t="s">
        <v>1766</v>
      </c>
      <c r="N202" s="13">
        <v>0.91</v>
      </c>
    </row>
    <row r="203" spans="1:14" ht="45" customHeight="1">
      <c r="A203" s="14" t="s">
        <v>1988</v>
      </c>
      <c r="B203" s="14" t="s">
        <v>318</v>
      </c>
      <c r="C203" s="14" t="s">
        <v>1654</v>
      </c>
      <c r="D203" s="14" t="s">
        <v>487</v>
      </c>
      <c r="E203" s="14" t="s">
        <v>1647</v>
      </c>
      <c r="F203" s="14" t="s">
        <v>636</v>
      </c>
      <c r="G203" s="14" t="s">
        <v>637</v>
      </c>
      <c r="H203" s="14" t="s">
        <v>630</v>
      </c>
      <c r="I203" s="14">
        <v>3</v>
      </c>
      <c r="J203" s="14">
        <v>2</v>
      </c>
      <c r="K203" s="14" t="s">
        <v>1785</v>
      </c>
      <c r="L203" s="14" t="s">
        <v>1788</v>
      </c>
      <c r="M203" s="14" t="s">
        <v>1766</v>
      </c>
      <c r="N203" s="14">
        <v>0.84</v>
      </c>
    </row>
    <row r="204" spans="1:14" ht="45" customHeight="1">
      <c r="A204" s="13" t="s">
        <v>1989</v>
      </c>
      <c r="B204" s="13" t="s">
        <v>318</v>
      </c>
      <c r="C204" s="13" t="s">
        <v>1656</v>
      </c>
      <c r="D204" s="13" t="s">
        <v>490</v>
      </c>
      <c r="E204" s="13" t="s">
        <v>1658</v>
      </c>
      <c r="F204" s="13" t="s">
        <v>563</v>
      </c>
      <c r="G204" s="13" t="s">
        <v>564</v>
      </c>
      <c r="H204" s="13" t="s">
        <v>565</v>
      </c>
      <c r="I204" s="13">
        <v>3</v>
      </c>
      <c r="J204" s="13"/>
      <c r="K204" s="13" t="s">
        <v>1808</v>
      </c>
      <c r="L204" s="13" t="s">
        <v>1809</v>
      </c>
      <c r="M204" s="13" t="s">
        <v>1767</v>
      </c>
      <c r="N204" s="13"/>
    </row>
    <row r="205" spans="1:14" ht="45" customHeight="1">
      <c r="A205" s="14" t="s">
        <v>1990</v>
      </c>
      <c r="B205" s="14" t="s">
        <v>318</v>
      </c>
      <c r="C205" s="14" t="s">
        <v>1656</v>
      </c>
      <c r="D205" s="14" t="s">
        <v>490</v>
      </c>
      <c r="E205" s="14" t="s">
        <v>1658</v>
      </c>
      <c r="F205" s="14" t="s">
        <v>593</v>
      </c>
      <c r="G205" s="14" t="s">
        <v>594</v>
      </c>
      <c r="H205" s="14" t="s">
        <v>565</v>
      </c>
      <c r="I205" s="14">
        <v>3</v>
      </c>
      <c r="J205" s="14"/>
      <c r="K205" s="14" t="s">
        <v>1808</v>
      </c>
      <c r="L205" s="14" t="s">
        <v>1809</v>
      </c>
      <c r="M205" s="14" t="s">
        <v>1767</v>
      </c>
      <c r="N205" s="14"/>
    </row>
    <row r="206" spans="1:14" ht="45" customHeight="1">
      <c r="A206" s="13" t="s">
        <v>1991</v>
      </c>
      <c r="B206" s="13" t="s">
        <v>318</v>
      </c>
      <c r="C206" s="13" t="s">
        <v>1656</v>
      </c>
      <c r="D206" s="13" t="s">
        <v>490</v>
      </c>
      <c r="E206" s="13" t="s">
        <v>1658</v>
      </c>
      <c r="F206" s="13" t="s">
        <v>621</v>
      </c>
      <c r="G206" s="13" t="s">
        <v>622</v>
      </c>
      <c r="H206" s="13" t="s">
        <v>565</v>
      </c>
      <c r="I206" s="13">
        <v>3</v>
      </c>
      <c r="J206" s="13"/>
      <c r="K206" s="13" t="s">
        <v>1808</v>
      </c>
      <c r="L206" s="13" t="s">
        <v>1809</v>
      </c>
      <c r="M206" s="13" t="s">
        <v>1767</v>
      </c>
      <c r="N206" s="13"/>
    </row>
    <row r="207" spans="1:14" ht="45" customHeight="1">
      <c r="A207" s="14" t="s">
        <v>1992</v>
      </c>
      <c r="B207" s="14" t="s">
        <v>318</v>
      </c>
      <c r="C207" s="14" t="s">
        <v>1656</v>
      </c>
      <c r="D207" s="14" t="s">
        <v>490</v>
      </c>
      <c r="E207" s="14" t="s">
        <v>1658</v>
      </c>
      <c r="F207" s="14" t="s">
        <v>628</v>
      </c>
      <c r="G207" s="14" t="s">
        <v>629</v>
      </c>
      <c r="H207" s="14" t="s">
        <v>630</v>
      </c>
      <c r="I207" s="14">
        <v>3</v>
      </c>
      <c r="J207" s="14"/>
      <c r="K207" s="14" t="s">
        <v>1808</v>
      </c>
      <c r="L207" s="14" t="s">
        <v>1809</v>
      </c>
      <c r="M207" s="14" t="s">
        <v>1767</v>
      </c>
      <c r="N207" s="14"/>
    </row>
    <row r="208" spans="1:14" ht="45" customHeight="1">
      <c r="A208" s="13" t="s">
        <v>1993</v>
      </c>
      <c r="B208" s="13" t="s">
        <v>318</v>
      </c>
      <c r="C208" s="13" t="s">
        <v>1656</v>
      </c>
      <c r="D208" s="13" t="s">
        <v>490</v>
      </c>
      <c r="E208" s="13" t="s">
        <v>1658</v>
      </c>
      <c r="F208" s="13" t="s">
        <v>636</v>
      </c>
      <c r="G208" s="13" t="s">
        <v>637</v>
      </c>
      <c r="H208" s="13" t="s">
        <v>630</v>
      </c>
      <c r="I208" s="13">
        <v>3</v>
      </c>
      <c r="J208" s="13"/>
      <c r="K208" s="13" t="s">
        <v>1808</v>
      </c>
      <c r="L208" s="13" t="s">
        <v>1809</v>
      </c>
      <c r="M208" s="13" t="s">
        <v>1767</v>
      </c>
      <c r="N208" s="13"/>
    </row>
    <row r="209" spans="1:14" ht="45" customHeight="1">
      <c r="A209" s="14" t="s">
        <v>1994</v>
      </c>
      <c r="B209" s="14" t="s">
        <v>318</v>
      </c>
      <c r="C209" s="14" t="s">
        <v>1656</v>
      </c>
      <c r="D209" s="14" t="s">
        <v>490</v>
      </c>
      <c r="E209" s="14" t="s">
        <v>1658</v>
      </c>
      <c r="F209" s="14" t="s">
        <v>643</v>
      </c>
      <c r="G209" s="14" t="s">
        <v>644</v>
      </c>
      <c r="H209" s="14" t="s">
        <v>630</v>
      </c>
      <c r="I209" s="14">
        <v>3</v>
      </c>
      <c r="J209" s="14"/>
      <c r="K209" s="14" t="s">
        <v>1808</v>
      </c>
      <c r="L209" s="14" t="s">
        <v>1809</v>
      </c>
      <c r="M209" s="14" t="s">
        <v>1767</v>
      </c>
      <c r="N209" s="14"/>
    </row>
    <row r="210" spans="1:14" ht="45" customHeight="1">
      <c r="A210" s="13" t="s">
        <v>1995</v>
      </c>
      <c r="B210" s="13" t="s">
        <v>318</v>
      </c>
      <c r="C210" s="13" t="s">
        <v>1656</v>
      </c>
      <c r="D210" s="13" t="s">
        <v>490</v>
      </c>
      <c r="E210" s="13" t="s">
        <v>1658</v>
      </c>
      <c r="F210" s="13" t="s">
        <v>650</v>
      </c>
      <c r="G210" s="13" t="s">
        <v>651</v>
      </c>
      <c r="H210" s="13" t="s">
        <v>630</v>
      </c>
      <c r="I210" s="13">
        <v>3</v>
      </c>
      <c r="J210" s="13"/>
      <c r="K210" s="13" t="s">
        <v>1808</v>
      </c>
      <c r="L210" s="13" t="s">
        <v>1809</v>
      </c>
      <c r="M210" s="13" t="s">
        <v>1767</v>
      </c>
      <c r="N210" s="13"/>
    </row>
    <row r="211" spans="1:14" ht="45" customHeight="1">
      <c r="A211" s="14" t="s">
        <v>1996</v>
      </c>
      <c r="B211" s="14" t="s">
        <v>318</v>
      </c>
      <c r="C211" s="14" t="s">
        <v>1656</v>
      </c>
      <c r="D211" s="14" t="s">
        <v>490</v>
      </c>
      <c r="E211" s="14" t="s">
        <v>1658</v>
      </c>
      <c r="F211" s="14" t="s">
        <v>657</v>
      </c>
      <c r="G211" s="14" t="s">
        <v>658</v>
      </c>
      <c r="H211" s="14" t="s">
        <v>630</v>
      </c>
      <c r="I211" s="14">
        <v>3</v>
      </c>
      <c r="J211" s="14"/>
      <c r="K211" s="14" t="s">
        <v>1808</v>
      </c>
      <c r="L211" s="14" t="s">
        <v>1809</v>
      </c>
      <c r="M211" s="14" t="s">
        <v>1767</v>
      </c>
      <c r="N211" s="14"/>
    </row>
    <row r="212" spans="1:14" ht="45" customHeight="1">
      <c r="A212" s="13" t="s">
        <v>1997</v>
      </c>
      <c r="B212" s="13" t="s">
        <v>318</v>
      </c>
      <c r="C212" s="13" t="s">
        <v>1656</v>
      </c>
      <c r="D212" s="13" t="s">
        <v>490</v>
      </c>
      <c r="E212" s="13" t="s">
        <v>1658</v>
      </c>
      <c r="F212" s="13" t="s">
        <v>664</v>
      </c>
      <c r="G212" s="13" t="s">
        <v>665</v>
      </c>
      <c r="H212" s="13" t="s">
        <v>630</v>
      </c>
      <c r="I212" s="13">
        <v>3</v>
      </c>
      <c r="J212" s="13"/>
      <c r="K212" s="13" t="s">
        <v>1808</v>
      </c>
      <c r="L212" s="13" t="s">
        <v>1809</v>
      </c>
      <c r="M212" s="13" t="s">
        <v>1767</v>
      </c>
      <c r="N212" s="13"/>
    </row>
    <row r="213" spans="1:14" ht="45" customHeight="1">
      <c r="A213" s="14" t="s">
        <v>1998</v>
      </c>
      <c r="B213" s="14" t="s">
        <v>318</v>
      </c>
      <c r="C213" s="14" t="s">
        <v>1656</v>
      </c>
      <c r="D213" s="14" t="s">
        <v>490</v>
      </c>
      <c r="E213" s="14" t="s">
        <v>1658</v>
      </c>
      <c r="F213" s="14" t="s">
        <v>671</v>
      </c>
      <c r="G213" s="14" t="s">
        <v>672</v>
      </c>
      <c r="H213" s="14" t="s">
        <v>630</v>
      </c>
      <c r="I213" s="14">
        <v>3</v>
      </c>
      <c r="J213" s="14"/>
      <c r="K213" s="14" t="s">
        <v>1808</v>
      </c>
      <c r="L213" s="14" t="s">
        <v>1809</v>
      </c>
      <c r="M213" s="14" t="s">
        <v>1767</v>
      </c>
      <c r="N213" s="14"/>
    </row>
    <row r="214" spans="1:14" ht="45" customHeight="1">
      <c r="A214" s="13" t="s">
        <v>1999</v>
      </c>
      <c r="B214" s="13" t="s">
        <v>318</v>
      </c>
      <c r="C214" s="13" t="s">
        <v>1661</v>
      </c>
      <c r="D214" s="13" t="s">
        <v>490</v>
      </c>
      <c r="E214" s="13" t="s">
        <v>1658</v>
      </c>
      <c r="F214" s="13" t="s">
        <v>563</v>
      </c>
      <c r="G214" s="13" t="s">
        <v>564</v>
      </c>
      <c r="H214" s="13" t="s">
        <v>565</v>
      </c>
      <c r="I214" s="13">
        <v>3</v>
      </c>
      <c r="J214" s="13">
        <v>2</v>
      </c>
      <c r="K214" s="13" t="s">
        <v>1785</v>
      </c>
      <c r="L214" s="13" t="s">
        <v>1786</v>
      </c>
      <c r="M214" s="13" t="s">
        <v>1768</v>
      </c>
      <c r="N214" s="13">
        <v>0.71</v>
      </c>
    </row>
    <row r="215" spans="1:14" ht="45" customHeight="1">
      <c r="A215" s="14" t="s">
        <v>2000</v>
      </c>
      <c r="B215" s="14" t="s">
        <v>318</v>
      </c>
      <c r="C215" s="14" t="s">
        <v>1661</v>
      </c>
      <c r="D215" s="14" t="s">
        <v>490</v>
      </c>
      <c r="E215" s="14" t="s">
        <v>1658</v>
      </c>
      <c r="F215" s="14" t="s">
        <v>593</v>
      </c>
      <c r="G215" s="14" t="s">
        <v>594</v>
      </c>
      <c r="H215" s="14" t="s">
        <v>565</v>
      </c>
      <c r="I215" s="14">
        <v>3</v>
      </c>
      <c r="J215" s="14">
        <v>1</v>
      </c>
      <c r="K215" s="14" t="s">
        <v>1785</v>
      </c>
      <c r="L215" s="14" t="s">
        <v>1786</v>
      </c>
      <c r="M215" s="14" t="s">
        <v>1768</v>
      </c>
      <c r="N215" s="14">
        <v>0.91</v>
      </c>
    </row>
    <row r="216" spans="1:14" ht="45" customHeight="1">
      <c r="A216" s="13" t="s">
        <v>2001</v>
      </c>
      <c r="B216" s="13" t="s">
        <v>318</v>
      </c>
      <c r="C216" s="13" t="s">
        <v>1661</v>
      </c>
      <c r="D216" s="13" t="s">
        <v>490</v>
      </c>
      <c r="E216" s="13" t="s">
        <v>1658</v>
      </c>
      <c r="F216" s="13" t="s">
        <v>621</v>
      </c>
      <c r="G216" s="13" t="s">
        <v>622</v>
      </c>
      <c r="H216" s="13" t="s">
        <v>565</v>
      </c>
      <c r="I216" s="13">
        <v>3</v>
      </c>
      <c r="J216" s="13">
        <v>2</v>
      </c>
      <c r="K216" s="13" t="s">
        <v>1785</v>
      </c>
      <c r="L216" s="13" t="s">
        <v>1786</v>
      </c>
      <c r="M216" s="13" t="s">
        <v>1768</v>
      </c>
      <c r="N216" s="13">
        <v>0.78</v>
      </c>
    </row>
    <row r="217" spans="1:14" ht="45" customHeight="1">
      <c r="A217" s="14" t="s">
        <v>2002</v>
      </c>
      <c r="B217" s="14" t="s">
        <v>318</v>
      </c>
      <c r="C217" s="14" t="s">
        <v>1661</v>
      </c>
      <c r="D217" s="14" t="s">
        <v>490</v>
      </c>
      <c r="E217" s="14" t="s">
        <v>1658</v>
      </c>
      <c r="F217" s="14" t="s">
        <v>628</v>
      </c>
      <c r="G217" s="14" t="s">
        <v>629</v>
      </c>
      <c r="H217" s="14" t="s">
        <v>630</v>
      </c>
      <c r="I217" s="14">
        <v>3</v>
      </c>
      <c r="J217" s="14">
        <v>2</v>
      </c>
      <c r="K217" s="14" t="s">
        <v>1785</v>
      </c>
      <c r="L217" s="14" t="s">
        <v>1786</v>
      </c>
      <c r="M217" s="14" t="s">
        <v>1768</v>
      </c>
      <c r="N217" s="14">
        <v>0.89</v>
      </c>
    </row>
    <row r="218" spans="1:14" ht="45" customHeight="1">
      <c r="A218" s="13" t="s">
        <v>2003</v>
      </c>
      <c r="B218" s="13" t="s">
        <v>318</v>
      </c>
      <c r="C218" s="13" t="s">
        <v>1661</v>
      </c>
      <c r="D218" s="13" t="s">
        <v>490</v>
      </c>
      <c r="E218" s="13" t="s">
        <v>1658</v>
      </c>
      <c r="F218" s="13" t="s">
        <v>636</v>
      </c>
      <c r="G218" s="13" t="s">
        <v>637</v>
      </c>
      <c r="H218" s="13" t="s">
        <v>630</v>
      </c>
      <c r="I218" s="13">
        <v>3</v>
      </c>
      <c r="J218" s="13">
        <v>2</v>
      </c>
      <c r="K218" s="13" t="s">
        <v>1785</v>
      </c>
      <c r="L218" s="13" t="s">
        <v>1786</v>
      </c>
      <c r="M218" s="13" t="s">
        <v>1768</v>
      </c>
      <c r="N218" s="13">
        <v>0.84</v>
      </c>
    </row>
    <row r="219" spans="1:14" ht="45" customHeight="1">
      <c r="A219" s="14" t="s">
        <v>2004</v>
      </c>
      <c r="B219" s="14" t="s">
        <v>318</v>
      </c>
      <c r="C219" s="14" t="s">
        <v>1661</v>
      </c>
      <c r="D219" s="14" t="s">
        <v>490</v>
      </c>
      <c r="E219" s="14" t="s">
        <v>1658</v>
      </c>
      <c r="F219" s="14" t="s">
        <v>643</v>
      </c>
      <c r="G219" s="14" t="s">
        <v>644</v>
      </c>
      <c r="H219" s="14" t="s">
        <v>630</v>
      </c>
      <c r="I219" s="14">
        <v>3</v>
      </c>
      <c r="J219" s="14">
        <v>2</v>
      </c>
      <c r="K219" s="14" t="s">
        <v>1785</v>
      </c>
      <c r="L219" s="14" t="s">
        <v>1788</v>
      </c>
      <c r="M219" s="14" t="s">
        <v>1768</v>
      </c>
      <c r="N219" s="14">
        <v>0.8</v>
      </c>
    </row>
    <row r="220" spans="1:14" ht="45" customHeight="1">
      <c r="A220" s="13" t="s">
        <v>2005</v>
      </c>
      <c r="B220" s="13" t="s">
        <v>318</v>
      </c>
      <c r="C220" s="13" t="s">
        <v>1661</v>
      </c>
      <c r="D220" s="13" t="s">
        <v>490</v>
      </c>
      <c r="E220" s="13" t="s">
        <v>1658</v>
      </c>
      <c r="F220" s="13" t="s">
        <v>650</v>
      </c>
      <c r="G220" s="13" t="s">
        <v>651</v>
      </c>
      <c r="H220" s="13" t="s">
        <v>630</v>
      </c>
      <c r="I220" s="13">
        <v>3</v>
      </c>
      <c r="J220" s="13">
        <v>2</v>
      </c>
      <c r="K220" s="13" t="s">
        <v>1785</v>
      </c>
      <c r="L220" s="13" t="s">
        <v>1788</v>
      </c>
      <c r="M220" s="13" t="s">
        <v>1768</v>
      </c>
      <c r="N220" s="13">
        <v>0.89</v>
      </c>
    </row>
    <row r="221" spans="1:14" ht="45" customHeight="1">
      <c r="A221" s="14" t="s">
        <v>2006</v>
      </c>
      <c r="B221" s="14" t="s">
        <v>318</v>
      </c>
      <c r="C221" s="14" t="s">
        <v>1661</v>
      </c>
      <c r="D221" s="14" t="s">
        <v>490</v>
      </c>
      <c r="E221" s="14" t="s">
        <v>1658</v>
      </c>
      <c r="F221" s="14" t="s">
        <v>657</v>
      </c>
      <c r="G221" s="14" t="s">
        <v>658</v>
      </c>
      <c r="H221" s="14" t="s">
        <v>630</v>
      </c>
      <c r="I221" s="14">
        <v>3</v>
      </c>
      <c r="J221" s="14">
        <v>2</v>
      </c>
      <c r="K221" s="14" t="s">
        <v>1785</v>
      </c>
      <c r="L221" s="14" t="s">
        <v>1786</v>
      </c>
      <c r="M221" s="14" t="s">
        <v>1768</v>
      </c>
      <c r="N221" s="14">
        <v>0.77</v>
      </c>
    </row>
    <row r="222" spans="1:14" ht="45" customHeight="1">
      <c r="A222" s="13" t="s">
        <v>2007</v>
      </c>
      <c r="B222" s="13" t="s">
        <v>318</v>
      </c>
      <c r="C222" s="13" t="s">
        <v>1661</v>
      </c>
      <c r="D222" s="13" t="s">
        <v>490</v>
      </c>
      <c r="E222" s="13" t="s">
        <v>1658</v>
      </c>
      <c r="F222" s="13" t="s">
        <v>664</v>
      </c>
      <c r="G222" s="13" t="s">
        <v>665</v>
      </c>
      <c r="H222" s="13" t="s">
        <v>630</v>
      </c>
      <c r="I222" s="13">
        <v>3</v>
      </c>
      <c r="J222" s="13">
        <v>2</v>
      </c>
      <c r="K222" s="13" t="s">
        <v>1785</v>
      </c>
      <c r="L222" s="13" t="s">
        <v>1786</v>
      </c>
      <c r="M222" s="13" t="s">
        <v>1768</v>
      </c>
      <c r="N222" s="13">
        <v>0.75</v>
      </c>
    </row>
    <row r="223" spans="1:14" ht="45" customHeight="1">
      <c r="A223" s="14" t="s">
        <v>2008</v>
      </c>
      <c r="B223" s="14" t="s">
        <v>318</v>
      </c>
      <c r="C223" s="14" t="s">
        <v>1661</v>
      </c>
      <c r="D223" s="14" t="s">
        <v>490</v>
      </c>
      <c r="E223" s="14" t="s">
        <v>1658</v>
      </c>
      <c r="F223" s="14" t="s">
        <v>671</v>
      </c>
      <c r="G223" s="14" t="s">
        <v>672</v>
      </c>
      <c r="H223" s="14" t="s">
        <v>630</v>
      </c>
      <c r="I223" s="14">
        <v>3</v>
      </c>
      <c r="J223" s="14">
        <v>2</v>
      </c>
      <c r="K223" s="14" t="s">
        <v>1785</v>
      </c>
      <c r="L223" s="14" t="s">
        <v>1786</v>
      </c>
      <c r="M223" s="14" t="s">
        <v>1768</v>
      </c>
      <c r="N223" s="14">
        <v>0.71</v>
      </c>
    </row>
    <row r="224" spans="1:14" ht="45" customHeight="1">
      <c r="A224" s="13" t="s">
        <v>2009</v>
      </c>
      <c r="B224" s="13" t="s">
        <v>318</v>
      </c>
      <c r="C224" s="13" t="s">
        <v>1663</v>
      </c>
      <c r="D224" s="13" t="s">
        <v>490</v>
      </c>
      <c r="E224" s="13" t="s">
        <v>1658</v>
      </c>
      <c r="F224" s="13" t="s">
        <v>563</v>
      </c>
      <c r="G224" s="13" t="s">
        <v>564</v>
      </c>
      <c r="H224" s="13" t="s">
        <v>565</v>
      </c>
      <c r="I224" s="13">
        <v>3</v>
      </c>
      <c r="J224" s="13">
        <v>2</v>
      </c>
      <c r="K224" s="13" t="s">
        <v>1785</v>
      </c>
      <c r="L224" s="13" t="s">
        <v>1786</v>
      </c>
      <c r="M224" s="13" t="s">
        <v>1769</v>
      </c>
      <c r="N224" s="13">
        <v>0.86</v>
      </c>
    </row>
    <row r="225" spans="1:14" ht="45" customHeight="1">
      <c r="A225" s="14" t="s">
        <v>2010</v>
      </c>
      <c r="B225" s="14" t="s">
        <v>318</v>
      </c>
      <c r="C225" s="14" t="s">
        <v>1663</v>
      </c>
      <c r="D225" s="14" t="s">
        <v>490</v>
      </c>
      <c r="E225" s="14" t="s">
        <v>1658</v>
      </c>
      <c r="F225" s="14" t="s">
        <v>593</v>
      </c>
      <c r="G225" s="14" t="s">
        <v>594</v>
      </c>
      <c r="H225" s="14" t="s">
        <v>565</v>
      </c>
      <c r="I225" s="14">
        <v>3</v>
      </c>
      <c r="J225" s="14">
        <v>1</v>
      </c>
      <c r="K225" s="14" t="s">
        <v>1785</v>
      </c>
      <c r="L225" s="14" t="s">
        <v>1786</v>
      </c>
      <c r="M225" s="14" t="s">
        <v>1769</v>
      </c>
      <c r="N225" s="14">
        <v>0.86</v>
      </c>
    </row>
    <row r="226" spans="1:14" ht="45" customHeight="1">
      <c r="A226" s="13" t="s">
        <v>2011</v>
      </c>
      <c r="B226" s="13" t="s">
        <v>318</v>
      </c>
      <c r="C226" s="13" t="s">
        <v>1663</v>
      </c>
      <c r="D226" s="13" t="s">
        <v>490</v>
      </c>
      <c r="E226" s="13" t="s">
        <v>1658</v>
      </c>
      <c r="F226" s="13" t="s">
        <v>621</v>
      </c>
      <c r="G226" s="13" t="s">
        <v>622</v>
      </c>
      <c r="H226" s="13" t="s">
        <v>565</v>
      </c>
      <c r="I226" s="13">
        <v>3</v>
      </c>
      <c r="J226" s="13">
        <v>1</v>
      </c>
      <c r="K226" s="13" t="s">
        <v>1785</v>
      </c>
      <c r="L226" s="13" t="s">
        <v>1786</v>
      </c>
      <c r="M226" s="13" t="s">
        <v>1769</v>
      </c>
      <c r="N226" s="13">
        <v>0.9</v>
      </c>
    </row>
    <row r="227" spans="1:14" ht="45" customHeight="1">
      <c r="A227" s="14" t="s">
        <v>2012</v>
      </c>
      <c r="B227" s="14" t="s">
        <v>318</v>
      </c>
      <c r="C227" s="14" t="s">
        <v>1663</v>
      </c>
      <c r="D227" s="14" t="s">
        <v>490</v>
      </c>
      <c r="E227" s="14" t="s">
        <v>1658</v>
      </c>
      <c r="F227" s="14" t="s">
        <v>628</v>
      </c>
      <c r="G227" s="14" t="s">
        <v>629</v>
      </c>
      <c r="H227" s="14" t="s">
        <v>630</v>
      </c>
      <c r="I227" s="14">
        <v>3</v>
      </c>
      <c r="J227" s="14">
        <v>1</v>
      </c>
      <c r="K227" s="14" t="s">
        <v>1785</v>
      </c>
      <c r="L227" s="14" t="s">
        <v>1786</v>
      </c>
      <c r="M227" s="14" t="s">
        <v>1769</v>
      </c>
      <c r="N227" s="14">
        <v>0.85</v>
      </c>
    </row>
    <row r="228" spans="1:14" ht="45" customHeight="1">
      <c r="A228" s="13" t="s">
        <v>2013</v>
      </c>
      <c r="B228" s="13" t="s">
        <v>318</v>
      </c>
      <c r="C228" s="13" t="s">
        <v>1663</v>
      </c>
      <c r="D228" s="13" t="s">
        <v>490</v>
      </c>
      <c r="E228" s="13" t="s">
        <v>1658</v>
      </c>
      <c r="F228" s="13" t="s">
        <v>636</v>
      </c>
      <c r="G228" s="13" t="s">
        <v>637</v>
      </c>
      <c r="H228" s="13" t="s">
        <v>630</v>
      </c>
      <c r="I228" s="13">
        <v>3</v>
      </c>
      <c r="J228" s="13">
        <v>1</v>
      </c>
      <c r="K228" s="13" t="s">
        <v>1785</v>
      </c>
      <c r="L228" s="13" t="s">
        <v>1786</v>
      </c>
      <c r="M228" s="13" t="s">
        <v>1769</v>
      </c>
      <c r="N228" s="13">
        <v>0.85</v>
      </c>
    </row>
    <row r="229" spans="1:14" ht="45" customHeight="1">
      <c r="A229" s="14" t="s">
        <v>2014</v>
      </c>
      <c r="B229" s="14" t="s">
        <v>318</v>
      </c>
      <c r="C229" s="14" t="s">
        <v>1663</v>
      </c>
      <c r="D229" s="14" t="s">
        <v>490</v>
      </c>
      <c r="E229" s="14" t="s">
        <v>1658</v>
      </c>
      <c r="F229" s="14" t="s">
        <v>643</v>
      </c>
      <c r="G229" s="14" t="s">
        <v>644</v>
      </c>
      <c r="H229" s="14" t="s">
        <v>630</v>
      </c>
      <c r="I229" s="14">
        <v>3</v>
      </c>
      <c r="J229" s="14">
        <v>1</v>
      </c>
      <c r="K229" s="14" t="s">
        <v>1785</v>
      </c>
      <c r="L229" s="14" t="s">
        <v>1786</v>
      </c>
      <c r="M229" s="14" t="s">
        <v>1769</v>
      </c>
      <c r="N229" s="14">
        <v>0.76</v>
      </c>
    </row>
    <row r="230" spans="1:14" ht="45" customHeight="1">
      <c r="A230" s="13" t="s">
        <v>2015</v>
      </c>
      <c r="B230" s="13" t="s">
        <v>318</v>
      </c>
      <c r="C230" s="13" t="s">
        <v>1663</v>
      </c>
      <c r="D230" s="13" t="s">
        <v>490</v>
      </c>
      <c r="E230" s="13" t="s">
        <v>1658</v>
      </c>
      <c r="F230" s="13" t="s">
        <v>650</v>
      </c>
      <c r="G230" s="13" t="s">
        <v>651</v>
      </c>
      <c r="H230" s="13" t="s">
        <v>630</v>
      </c>
      <c r="I230" s="13">
        <v>3</v>
      </c>
      <c r="J230" s="13">
        <v>1</v>
      </c>
      <c r="K230" s="13" t="s">
        <v>1785</v>
      </c>
      <c r="L230" s="13" t="s">
        <v>1786</v>
      </c>
      <c r="M230" s="13" t="s">
        <v>1769</v>
      </c>
      <c r="N230" s="13">
        <v>0.7</v>
      </c>
    </row>
    <row r="231" spans="1:14" ht="45" customHeight="1">
      <c r="A231" s="14" t="s">
        <v>2016</v>
      </c>
      <c r="B231" s="14" t="s">
        <v>318</v>
      </c>
      <c r="C231" s="14" t="s">
        <v>1663</v>
      </c>
      <c r="D231" s="14" t="s">
        <v>490</v>
      </c>
      <c r="E231" s="14" t="s">
        <v>1658</v>
      </c>
      <c r="F231" s="14" t="s">
        <v>657</v>
      </c>
      <c r="G231" s="14" t="s">
        <v>658</v>
      </c>
      <c r="H231" s="14" t="s">
        <v>630</v>
      </c>
      <c r="I231" s="14">
        <v>3</v>
      </c>
      <c r="J231" s="14">
        <v>1</v>
      </c>
      <c r="K231" s="14" t="s">
        <v>1785</v>
      </c>
      <c r="L231" s="14" t="s">
        <v>1788</v>
      </c>
      <c r="M231" s="14" t="s">
        <v>1769</v>
      </c>
      <c r="N231" s="14">
        <v>0.71</v>
      </c>
    </row>
    <row r="232" spans="1:14" ht="45" customHeight="1">
      <c r="A232" s="13" t="s">
        <v>2017</v>
      </c>
      <c r="B232" s="13" t="s">
        <v>318</v>
      </c>
      <c r="C232" s="13" t="s">
        <v>1663</v>
      </c>
      <c r="D232" s="13" t="s">
        <v>490</v>
      </c>
      <c r="E232" s="13" t="s">
        <v>1658</v>
      </c>
      <c r="F232" s="13" t="s">
        <v>664</v>
      </c>
      <c r="G232" s="13" t="s">
        <v>665</v>
      </c>
      <c r="H232" s="13" t="s">
        <v>630</v>
      </c>
      <c r="I232" s="13">
        <v>3</v>
      </c>
      <c r="J232" s="13">
        <v>1</v>
      </c>
      <c r="K232" s="13" t="s">
        <v>1785</v>
      </c>
      <c r="L232" s="13" t="s">
        <v>1786</v>
      </c>
      <c r="M232" s="13" t="s">
        <v>1769</v>
      </c>
      <c r="N232" s="13">
        <v>0.9</v>
      </c>
    </row>
    <row r="233" spans="1:14" ht="45" customHeight="1">
      <c r="A233" s="14" t="s">
        <v>2018</v>
      </c>
      <c r="B233" s="14" t="s">
        <v>318</v>
      </c>
      <c r="C233" s="14" t="s">
        <v>1663</v>
      </c>
      <c r="D233" s="14" t="s">
        <v>490</v>
      </c>
      <c r="E233" s="14" t="s">
        <v>1658</v>
      </c>
      <c r="F233" s="14" t="s">
        <v>671</v>
      </c>
      <c r="G233" s="14" t="s">
        <v>672</v>
      </c>
      <c r="H233" s="14" t="s">
        <v>630</v>
      </c>
      <c r="I233" s="14">
        <v>3</v>
      </c>
      <c r="J233" s="14">
        <v>1</v>
      </c>
      <c r="K233" s="14" t="s">
        <v>1785</v>
      </c>
      <c r="L233" s="14" t="s">
        <v>1786</v>
      </c>
      <c r="M233" s="14" t="s">
        <v>1769</v>
      </c>
      <c r="N233" s="14">
        <v>0.91</v>
      </c>
    </row>
    <row r="234" spans="1:14" ht="45" customHeight="1">
      <c r="A234" s="13" t="s">
        <v>2019</v>
      </c>
      <c r="B234" s="13" t="s">
        <v>318</v>
      </c>
      <c r="C234" s="13" t="s">
        <v>1665</v>
      </c>
      <c r="D234" s="13" t="s">
        <v>490</v>
      </c>
      <c r="E234" s="13" t="s">
        <v>1658</v>
      </c>
      <c r="F234" s="13" t="s">
        <v>563</v>
      </c>
      <c r="G234" s="13" t="s">
        <v>564</v>
      </c>
      <c r="H234" s="13" t="s">
        <v>565</v>
      </c>
      <c r="I234" s="13">
        <v>3</v>
      </c>
      <c r="J234" s="13"/>
      <c r="K234" s="13" t="s">
        <v>1808</v>
      </c>
      <c r="L234" s="13" t="s">
        <v>1809</v>
      </c>
      <c r="M234" s="13" t="s">
        <v>1770</v>
      </c>
      <c r="N234" s="13"/>
    </row>
    <row r="235" spans="1:14" ht="45" customHeight="1">
      <c r="A235" s="14" t="s">
        <v>2020</v>
      </c>
      <c r="B235" s="14" t="s">
        <v>318</v>
      </c>
      <c r="C235" s="14" t="s">
        <v>1665</v>
      </c>
      <c r="D235" s="14" t="s">
        <v>490</v>
      </c>
      <c r="E235" s="14" t="s">
        <v>1658</v>
      </c>
      <c r="F235" s="14" t="s">
        <v>593</v>
      </c>
      <c r="G235" s="14" t="s">
        <v>594</v>
      </c>
      <c r="H235" s="14" t="s">
        <v>565</v>
      </c>
      <c r="I235" s="14">
        <v>3</v>
      </c>
      <c r="J235" s="14"/>
      <c r="K235" s="14" t="s">
        <v>1808</v>
      </c>
      <c r="L235" s="14" t="s">
        <v>1809</v>
      </c>
      <c r="M235" s="14" t="s">
        <v>1770</v>
      </c>
      <c r="N235" s="14"/>
    </row>
    <row r="236" spans="1:14" ht="45" customHeight="1">
      <c r="A236" s="13" t="s">
        <v>2021</v>
      </c>
      <c r="B236" s="13" t="s">
        <v>318</v>
      </c>
      <c r="C236" s="13" t="s">
        <v>1665</v>
      </c>
      <c r="D236" s="13" t="s">
        <v>490</v>
      </c>
      <c r="E236" s="13" t="s">
        <v>1658</v>
      </c>
      <c r="F236" s="13" t="s">
        <v>621</v>
      </c>
      <c r="G236" s="13" t="s">
        <v>622</v>
      </c>
      <c r="H236" s="13" t="s">
        <v>565</v>
      </c>
      <c r="I236" s="13">
        <v>3</v>
      </c>
      <c r="J236" s="13"/>
      <c r="K236" s="13" t="s">
        <v>1808</v>
      </c>
      <c r="L236" s="13" t="s">
        <v>1809</v>
      </c>
      <c r="M236" s="13" t="s">
        <v>1770</v>
      </c>
      <c r="N236" s="13"/>
    </row>
    <row r="237" spans="1:14" ht="45" customHeight="1">
      <c r="A237" s="14" t="s">
        <v>2022</v>
      </c>
      <c r="B237" s="14" t="s">
        <v>318</v>
      </c>
      <c r="C237" s="14" t="s">
        <v>1665</v>
      </c>
      <c r="D237" s="14" t="s">
        <v>490</v>
      </c>
      <c r="E237" s="14" t="s">
        <v>1658</v>
      </c>
      <c r="F237" s="14" t="s">
        <v>628</v>
      </c>
      <c r="G237" s="14" t="s">
        <v>629</v>
      </c>
      <c r="H237" s="14" t="s">
        <v>630</v>
      </c>
      <c r="I237" s="14">
        <v>3</v>
      </c>
      <c r="J237" s="14"/>
      <c r="K237" s="14" t="s">
        <v>1808</v>
      </c>
      <c r="L237" s="14" t="s">
        <v>1809</v>
      </c>
      <c r="M237" s="14" t="s">
        <v>1770</v>
      </c>
      <c r="N237" s="14"/>
    </row>
    <row r="238" spans="1:14" ht="45" customHeight="1">
      <c r="A238" s="13" t="s">
        <v>2023</v>
      </c>
      <c r="B238" s="13" t="s">
        <v>318</v>
      </c>
      <c r="C238" s="13" t="s">
        <v>1665</v>
      </c>
      <c r="D238" s="13" t="s">
        <v>490</v>
      </c>
      <c r="E238" s="13" t="s">
        <v>1658</v>
      </c>
      <c r="F238" s="13" t="s">
        <v>636</v>
      </c>
      <c r="G238" s="13" t="s">
        <v>637</v>
      </c>
      <c r="H238" s="13" t="s">
        <v>630</v>
      </c>
      <c r="I238" s="13">
        <v>3</v>
      </c>
      <c r="J238" s="13"/>
      <c r="K238" s="13" t="s">
        <v>1808</v>
      </c>
      <c r="L238" s="13" t="s">
        <v>1809</v>
      </c>
      <c r="M238" s="13" t="s">
        <v>1770</v>
      </c>
      <c r="N238" s="13"/>
    </row>
    <row r="239" spans="1:14" ht="45" customHeight="1">
      <c r="A239" s="14" t="s">
        <v>2024</v>
      </c>
      <c r="B239" s="14" t="s">
        <v>318</v>
      </c>
      <c r="C239" s="14" t="s">
        <v>1665</v>
      </c>
      <c r="D239" s="14" t="s">
        <v>490</v>
      </c>
      <c r="E239" s="14" t="s">
        <v>1658</v>
      </c>
      <c r="F239" s="14" t="s">
        <v>643</v>
      </c>
      <c r="G239" s="14" t="s">
        <v>644</v>
      </c>
      <c r="H239" s="14" t="s">
        <v>630</v>
      </c>
      <c r="I239" s="14">
        <v>3</v>
      </c>
      <c r="J239" s="14"/>
      <c r="K239" s="14" t="s">
        <v>1808</v>
      </c>
      <c r="L239" s="14" t="s">
        <v>1809</v>
      </c>
      <c r="M239" s="14" t="s">
        <v>1770</v>
      </c>
      <c r="N239" s="14"/>
    </row>
    <row r="240" spans="1:14" ht="45" customHeight="1">
      <c r="A240" s="13" t="s">
        <v>2025</v>
      </c>
      <c r="B240" s="13" t="s">
        <v>318</v>
      </c>
      <c r="C240" s="13" t="s">
        <v>1665</v>
      </c>
      <c r="D240" s="13" t="s">
        <v>490</v>
      </c>
      <c r="E240" s="13" t="s">
        <v>1658</v>
      </c>
      <c r="F240" s="13" t="s">
        <v>650</v>
      </c>
      <c r="G240" s="13" t="s">
        <v>651</v>
      </c>
      <c r="H240" s="13" t="s">
        <v>630</v>
      </c>
      <c r="I240" s="13">
        <v>3</v>
      </c>
      <c r="J240" s="13"/>
      <c r="K240" s="13" t="s">
        <v>1808</v>
      </c>
      <c r="L240" s="13" t="s">
        <v>1809</v>
      </c>
      <c r="M240" s="13" t="s">
        <v>1770</v>
      </c>
      <c r="N240" s="13"/>
    </row>
    <row r="241" spans="1:14" ht="45" customHeight="1">
      <c r="A241" s="14" t="s">
        <v>2026</v>
      </c>
      <c r="B241" s="14" t="s">
        <v>318</v>
      </c>
      <c r="C241" s="14" t="s">
        <v>1665</v>
      </c>
      <c r="D241" s="14" t="s">
        <v>490</v>
      </c>
      <c r="E241" s="14" t="s">
        <v>1658</v>
      </c>
      <c r="F241" s="14" t="s">
        <v>657</v>
      </c>
      <c r="G241" s="14" t="s">
        <v>658</v>
      </c>
      <c r="H241" s="14" t="s">
        <v>630</v>
      </c>
      <c r="I241" s="14">
        <v>3</v>
      </c>
      <c r="J241" s="14"/>
      <c r="K241" s="14" t="s">
        <v>1808</v>
      </c>
      <c r="L241" s="14" t="s">
        <v>1809</v>
      </c>
      <c r="M241" s="14" t="s">
        <v>1770</v>
      </c>
      <c r="N241" s="14"/>
    </row>
    <row r="242" spans="1:14" ht="45" customHeight="1">
      <c r="A242" s="13" t="s">
        <v>2027</v>
      </c>
      <c r="B242" s="13" t="s">
        <v>318</v>
      </c>
      <c r="C242" s="13" t="s">
        <v>1665</v>
      </c>
      <c r="D242" s="13" t="s">
        <v>490</v>
      </c>
      <c r="E242" s="13" t="s">
        <v>1658</v>
      </c>
      <c r="F242" s="13" t="s">
        <v>664</v>
      </c>
      <c r="G242" s="13" t="s">
        <v>665</v>
      </c>
      <c r="H242" s="13" t="s">
        <v>630</v>
      </c>
      <c r="I242" s="13">
        <v>3</v>
      </c>
      <c r="J242" s="13"/>
      <c r="K242" s="13" t="s">
        <v>1808</v>
      </c>
      <c r="L242" s="13" t="s">
        <v>1809</v>
      </c>
      <c r="M242" s="13" t="s">
        <v>1770</v>
      </c>
      <c r="N242" s="13"/>
    </row>
    <row r="243" spans="1:14" ht="45" customHeight="1">
      <c r="A243" s="14" t="s">
        <v>2028</v>
      </c>
      <c r="B243" s="14" t="s">
        <v>318</v>
      </c>
      <c r="C243" s="14" t="s">
        <v>1665</v>
      </c>
      <c r="D243" s="14" t="s">
        <v>490</v>
      </c>
      <c r="E243" s="14" t="s">
        <v>1658</v>
      </c>
      <c r="F243" s="14" t="s">
        <v>671</v>
      </c>
      <c r="G243" s="14" t="s">
        <v>672</v>
      </c>
      <c r="H243" s="14" t="s">
        <v>630</v>
      </c>
      <c r="I243" s="14">
        <v>3</v>
      </c>
      <c r="J243" s="14"/>
      <c r="K243" s="14" t="s">
        <v>1808</v>
      </c>
      <c r="L243" s="14" t="s">
        <v>1809</v>
      </c>
      <c r="M243" s="14" t="s">
        <v>1770</v>
      </c>
      <c r="N243" s="14"/>
    </row>
    <row r="244" spans="1:14" ht="45" customHeight="1">
      <c r="A244" s="13" t="s">
        <v>2029</v>
      </c>
      <c r="B244" s="13" t="s">
        <v>318</v>
      </c>
      <c r="C244" s="13" t="s">
        <v>1667</v>
      </c>
      <c r="D244" s="13" t="s">
        <v>492</v>
      </c>
      <c r="E244" s="13" t="s">
        <v>1669</v>
      </c>
      <c r="F244" s="13" t="s">
        <v>678</v>
      </c>
      <c r="G244" s="13" t="s">
        <v>564</v>
      </c>
      <c r="H244" s="13" t="s">
        <v>565</v>
      </c>
      <c r="I244" s="13">
        <v>3</v>
      </c>
      <c r="J244" s="13"/>
      <c r="K244" s="13" t="s">
        <v>1808</v>
      </c>
      <c r="L244" s="13" t="s">
        <v>1809</v>
      </c>
      <c r="M244" s="13" t="s">
        <v>1771</v>
      </c>
      <c r="N244" s="13"/>
    </row>
    <row r="245" spans="1:14" ht="45" customHeight="1">
      <c r="A245" s="14" t="s">
        <v>2030</v>
      </c>
      <c r="B245" s="14" t="s">
        <v>318</v>
      </c>
      <c r="C245" s="14" t="s">
        <v>1667</v>
      </c>
      <c r="D245" s="14" t="s">
        <v>492</v>
      </c>
      <c r="E245" s="14" t="s">
        <v>1669</v>
      </c>
      <c r="F245" s="14" t="s">
        <v>683</v>
      </c>
      <c r="G245" s="14" t="s">
        <v>684</v>
      </c>
      <c r="H245" s="14" t="s">
        <v>565</v>
      </c>
      <c r="I245" s="14">
        <v>3</v>
      </c>
      <c r="J245" s="14"/>
      <c r="K245" s="14" t="s">
        <v>1808</v>
      </c>
      <c r="L245" s="14" t="s">
        <v>1809</v>
      </c>
      <c r="M245" s="14" t="s">
        <v>1771</v>
      </c>
      <c r="N245" s="14"/>
    </row>
    <row r="246" spans="1:14" ht="45" customHeight="1">
      <c r="A246" s="13" t="s">
        <v>2031</v>
      </c>
      <c r="B246" s="13" t="s">
        <v>318</v>
      </c>
      <c r="C246" s="13" t="s">
        <v>1667</v>
      </c>
      <c r="D246" s="13" t="s">
        <v>492</v>
      </c>
      <c r="E246" s="13" t="s">
        <v>1669</v>
      </c>
      <c r="F246" s="13" t="s">
        <v>690</v>
      </c>
      <c r="G246" s="13" t="s">
        <v>691</v>
      </c>
      <c r="H246" s="13" t="s">
        <v>565</v>
      </c>
      <c r="I246" s="13">
        <v>3</v>
      </c>
      <c r="J246" s="13"/>
      <c r="K246" s="13" t="s">
        <v>1808</v>
      </c>
      <c r="L246" s="13" t="s">
        <v>1809</v>
      </c>
      <c r="M246" s="13" t="s">
        <v>1771</v>
      </c>
      <c r="N246" s="13"/>
    </row>
    <row r="247" spans="1:14" ht="45" customHeight="1">
      <c r="A247" s="14" t="s">
        <v>2032</v>
      </c>
      <c r="B247" s="14" t="s">
        <v>318</v>
      </c>
      <c r="C247" s="14" t="s">
        <v>1667</v>
      </c>
      <c r="D247" s="14" t="s">
        <v>492</v>
      </c>
      <c r="E247" s="14" t="s">
        <v>1669</v>
      </c>
      <c r="F247" s="14" t="s">
        <v>697</v>
      </c>
      <c r="G247" s="14" t="s">
        <v>698</v>
      </c>
      <c r="H247" s="14" t="s">
        <v>565</v>
      </c>
      <c r="I247" s="14">
        <v>3</v>
      </c>
      <c r="J247" s="14"/>
      <c r="K247" s="14" t="s">
        <v>1808</v>
      </c>
      <c r="L247" s="14" t="s">
        <v>1809</v>
      </c>
      <c r="M247" s="14" t="s">
        <v>1771</v>
      </c>
      <c r="N247" s="14"/>
    </row>
    <row r="248" spans="1:14" ht="45" customHeight="1">
      <c r="A248" s="13" t="s">
        <v>2033</v>
      </c>
      <c r="B248" s="13" t="s">
        <v>318</v>
      </c>
      <c r="C248" s="13" t="s">
        <v>1667</v>
      </c>
      <c r="D248" s="13" t="s">
        <v>492</v>
      </c>
      <c r="E248" s="13" t="s">
        <v>1669</v>
      </c>
      <c r="F248" s="13" t="s">
        <v>704</v>
      </c>
      <c r="G248" s="13" t="s">
        <v>705</v>
      </c>
      <c r="H248" s="13" t="s">
        <v>565</v>
      </c>
      <c r="I248" s="13">
        <v>3</v>
      </c>
      <c r="J248" s="13"/>
      <c r="K248" s="13" t="s">
        <v>1808</v>
      </c>
      <c r="L248" s="13" t="s">
        <v>1809</v>
      </c>
      <c r="M248" s="13" t="s">
        <v>1771</v>
      </c>
      <c r="N248" s="13"/>
    </row>
    <row r="249" spans="1:14" ht="45" customHeight="1">
      <c r="A249" s="14" t="s">
        <v>2034</v>
      </c>
      <c r="B249" s="14" t="s">
        <v>318</v>
      </c>
      <c r="C249" s="14" t="s">
        <v>1667</v>
      </c>
      <c r="D249" s="14" t="s">
        <v>492</v>
      </c>
      <c r="E249" s="14" t="s">
        <v>1669</v>
      </c>
      <c r="F249" s="14" t="s">
        <v>711</v>
      </c>
      <c r="G249" s="14" t="s">
        <v>712</v>
      </c>
      <c r="H249" s="14" t="s">
        <v>565</v>
      </c>
      <c r="I249" s="14">
        <v>3</v>
      </c>
      <c r="J249" s="14"/>
      <c r="K249" s="14" t="s">
        <v>1808</v>
      </c>
      <c r="L249" s="14" t="s">
        <v>1809</v>
      </c>
      <c r="M249" s="14" t="s">
        <v>1771</v>
      </c>
      <c r="N249" s="14"/>
    </row>
    <row r="250" spans="1:14" ht="45" customHeight="1">
      <c r="A250" s="13" t="s">
        <v>2035</v>
      </c>
      <c r="B250" s="13" t="s">
        <v>318</v>
      </c>
      <c r="C250" s="13" t="s">
        <v>1667</v>
      </c>
      <c r="D250" s="13" t="s">
        <v>492</v>
      </c>
      <c r="E250" s="13" t="s">
        <v>1669</v>
      </c>
      <c r="F250" s="13" t="s">
        <v>718</v>
      </c>
      <c r="G250" s="13" t="s">
        <v>719</v>
      </c>
      <c r="H250" s="13" t="s">
        <v>565</v>
      </c>
      <c r="I250" s="13">
        <v>3</v>
      </c>
      <c r="J250" s="13"/>
      <c r="K250" s="13" t="s">
        <v>1808</v>
      </c>
      <c r="L250" s="13" t="s">
        <v>1809</v>
      </c>
      <c r="M250" s="13" t="s">
        <v>1771</v>
      </c>
      <c r="N250" s="13"/>
    </row>
    <row r="251" spans="1:14" ht="45" customHeight="1">
      <c r="A251" s="14" t="s">
        <v>2036</v>
      </c>
      <c r="B251" s="14" t="s">
        <v>318</v>
      </c>
      <c r="C251" s="14" t="s">
        <v>1667</v>
      </c>
      <c r="D251" s="14" t="s">
        <v>492</v>
      </c>
      <c r="E251" s="14" t="s">
        <v>1669</v>
      </c>
      <c r="F251" s="14" t="s">
        <v>725</v>
      </c>
      <c r="G251" s="14" t="s">
        <v>726</v>
      </c>
      <c r="H251" s="14" t="s">
        <v>565</v>
      </c>
      <c r="I251" s="14">
        <v>3</v>
      </c>
      <c r="J251" s="14"/>
      <c r="K251" s="14" t="s">
        <v>1808</v>
      </c>
      <c r="L251" s="14" t="s">
        <v>1809</v>
      </c>
      <c r="M251" s="14" t="s">
        <v>1771</v>
      </c>
      <c r="N251" s="14"/>
    </row>
    <row r="252" spans="1:14" ht="45" customHeight="1">
      <c r="A252" s="13" t="s">
        <v>2037</v>
      </c>
      <c r="B252" s="13" t="s">
        <v>318</v>
      </c>
      <c r="C252" s="13" t="s">
        <v>1667</v>
      </c>
      <c r="D252" s="13" t="s">
        <v>492</v>
      </c>
      <c r="E252" s="13" t="s">
        <v>1669</v>
      </c>
      <c r="F252" s="13" t="s">
        <v>729</v>
      </c>
      <c r="G252" s="13" t="s">
        <v>629</v>
      </c>
      <c r="H252" s="13" t="s">
        <v>630</v>
      </c>
      <c r="I252" s="13">
        <v>3</v>
      </c>
      <c r="J252" s="13"/>
      <c r="K252" s="13" t="s">
        <v>1808</v>
      </c>
      <c r="L252" s="13" t="s">
        <v>1809</v>
      </c>
      <c r="M252" s="13" t="s">
        <v>1771</v>
      </c>
      <c r="N252" s="13"/>
    </row>
    <row r="253" spans="1:14" ht="45" customHeight="1">
      <c r="A253" s="14" t="s">
        <v>2038</v>
      </c>
      <c r="B253" s="14" t="s">
        <v>318</v>
      </c>
      <c r="C253" s="14" t="s">
        <v>1667</v>
      </c>
      <c r="D253" s="14" t="s">
        <v>492</v>
      </c>
      <c r="E253" s="14" t="s">
        <v>1669</v>
      </c>
      <c r="F253" s="14" t="s">
        <v>730</v>
      </c>
      <c r="G253" s="14" t="s">
        <v>731</v>
      </c>
      <c r="H253" s="14" t="s">
        <v>630</v>
      </c>
      <c r="I253" s="14">
        <v>3</v>
      </c>
      <c r="J253" s="14"/>
      <c r="K253" s="14" t="s">
        <v>1808</v>
      </c>
      <c r="L253" s="14" t="s">
        <v>1809</v>
      </c>
      <c r="M253" s="14" t="s">
        <v>1771</v>
      </c>
      <c r="N253" s="14"/>
    </row>
    <row r="254" spans="1:14" ht="45" customHeight="1">
      <c r="A254" s="13" t="s">
        <v>2039</v>
      </c>
      <c r="B254" s="13" t="s">
        <v>318</v>
      </c>
      <c r="C254" s="13" t="s">
        <v>1673</v>
      </c>
      <c r="D254" s="13" t="s">
        <v>492</v>
      </c>
      <c r="E254" s="13" t="s">
        <v>1669</v>
      </c>
      <c r="F254" s="13" t="s">
        <v>678</v>
      </c>
      <c r="G254" s="13" t="s">
        <v>564</v>
      </c>
      <c r="H254" s="13" t="s">
        <v>565</v>
      </c>
      <c r="I254" s="13">
        <v>3</v>
      </c>
      <c r="J254" s="13">
        <v>3</v>
      </c>
      <c r="K254" s="13" t="s">
        <v>1785</v>
      </c>
      <c r="L254" s="13" t="s">
        <v>1788</v>
      </c>
      <c r="M254" s="13" t="s">
        <v>1772</v>
      </c>
      <c r="N254" s="13">
        <v>0.93</v>
      </c>
    </row>
    <row r="255" spans="1:14" ht="45" customHeight="1">
      <c r="A255" s="14" t="s">
        <v>2040</v>
      </c>
      <c r="B255" s="14" t="s">
        <v>318</v>
      </c>
      <c r="C255" s="14" t="s">
        <v>1673</v>
      </c>
      <c r="D255" s="14" t="s">
        <v>492</v>
      </c>
      <c r="E255" s="14" t="s">
        <v>1669</v>
      </c>
      <c r="F255" s="14" t="s">
        <v>683</v>
      </c>
      <c r="G255" s="14" t="s">
        <v>684</v>
      </c>
      <c r="H255" s="14" t="s">
        <v>565</v>
      </c>
      <c r="I255" s="14">
        <v>3</v>
      </c>
      <c r="J255" s="14">
        <v>3</v>
      </c>
      <c r="K255" s="14" t="s">
        <v>1785</v>
      </c>
      <c r="L255" s="14" t="s">
        <v>1786</v>
      </c>
      <c r="M255" s="14" t="s">
        <v>1772</v>
      </c>
      <c r="N255" s="14">
        <v>0.78</v>
      </c>
    </row>
    <row r="256" spans="1:14" ht="45" customHeight="1">
      <c r="A256" s="13" t="s">
        <v>2041</v>
      </c>
      <c r="B256" s="13" t="s">
        <v>318</v>
      </c>
      <c r="C256" s="13" t="s">
        <v>1673</v>
      </c>
      <c r="D256" s="13" t="s">
        <v>492</v>
      </c>
      <c r="E256" s="13" t="s">
        <v>1669</v>
      </c>
      <c r="F256" s="13" t="s">
        <v>690</v>
      </c>
      <c r="G256" s="13" t="s">
        <v>691</v>
      </c>
      <c r="H256" s="13" t="s">
        <v>565</v>
      </c>
      <c r="I256" s="13">
        <v>3</v>
      </c>
      <c r="J256" s="13">
        <v>3</v>
      </c>
      <c r="K256" s="13" t="s">
        <v>1785</v>
      </c>
      <c r="L256" s="13" t="s">
        <v>1788</v>
      </c>
      <c r="M256" s="13" t="s">
        <v>1772</v>
      </c>
      <c r="N256" s="13">
        <v>0.78</v>
      </c>
    </row>
    <row r="257" spans="1:14" ht="45" customHeight="1">
      <c r="A257" s="14" t="s">
        <v>2042</v>
      </c>
      <c r="B257" s="14" t="s">
        <v>318</v>
      </c>
      <c r="C257" s="14" t="s">
        <v>1673</v>
      </c>
      <c r="D257" s="14" t="s">
        <v>492</v>
      </c>
      <c r="E257" s="14" t="s">
        <v>1669</v>
      </c>
      <c r="F257" s="14" t="s">
        <v>697</v>
      </c>
      <c r="G257" s="14" t="s">
        <v>698</v>
      </c>
      <c r="H257" s="14" t="s">
        <v>565</v>
      </c>
      <c r="I257" s="14">
        <v>3</v>
      </c>
      <c r="J257" s="14">
        <v>3</v>
      </c>
      <c r="K257" s="14" t="s">
        <v>1785</v>
      </c>
      <c r="L257" s="14" t="s">
        <v>1786</v>
      </c>
      <c r="M257" s="14" t="s">
        <v>1772</v>
      </c>
      <c r="N257" s="14">
        <v>0.92</v>
      </c>
    </row>
    <row r="258" spans="1:14" ht="45" customHeight="1">
      <c r="A258" s="13" t="s">
        <v>2043</v>
      </c>
      <c r="B258" s="13" t="s">
        <v>318</v>
      </c>
      <c r="C258" s="13" t="s">
        <v>1673</v>
      </c>
      <c r="D258" s="13" t="s">
        <v>492</v>
      </c>
      <c r="E258" s="13" t="s">
        <v>1669</v>
      </c>
      <c r="F258" s="13" t="s">
        <v>704</v>
      </c>
      <c r="G258" s="13" t="s">
        <v>705</v>
      </c>
      <c r="H258" s="13" t="s">
        <v>565</v>
      </c>
      <c r="I258" s="13">
        <v>3</v>
      </c>
      <c r="J258" s="13">
        <v>3</v>
      </c>
      <c r="K258" s="13" t="s">
        <v>1785</v>
      </c>
      <c r="L258" s="13" t="s">
        <v>1786</v>
      </c>
      <c r="M258" s="13" t="s">
        <v>1772</v>
      </c>
      <c r="N258" s="13">
        <v>0.93</v>
      </c>
    </row>
    <row r="259" spans="1:14" ht="45" customHeight="1">
      <c r="A259" s="14" t="s">
        <v>2044</v>
      </c>
      <c r="B259" s="14" t="s">
        <v>318</v>
      </c>
      <c r="C259" s="14" t="s">
        <v>1673</v>
      </c>
      <c r="D259" s="14" t="s">
        <v>492</v>
      </c>
      <c r="E259" s="14" t="s">
        <v>1669</v>
      </c>
      <c r="F259" s="14" t="s">
        <v>711</v>
      </c>
      <c r="G259" s="14" t="s">
        <v>712</v>
      </c>
      <c r="H259" s="14" t="s">
        <v>565</v>
      </c>
      <c r="I259" s="14">
        <v>3</v>
      </c>
      <c r="J259" s="14">
        <v>3</v>
      </c>
      <c r="K259" s="14" t="s">
        <v>1785</v>
      </c>
      <c r="L259" s="14" t="s">
        <v>1788</v>
      </c>
      <c r="M259" s="14" t="s">
        <v>1772</v>
      </c>
      <c r="N259" s="14">
        <v>0.89</v>
      </c>
    </row>
    <row r="260" spans="1:14" ht="45" customHeight="1">
      <c r="A260" s="13" t="s">
        <v>2045</v>
      </c>
      <c r="B260" s="13" t="s">
        <v>318</v>
      </c>
      <c r="C260" s="13" t="s">
        <v>1673</v>
      </c>
      <c r="D260" s="13" t="s">
        <v>492</v>
      </c>
      <c r="E260" s="13" t="s">
        <v>1669</v>
      </c>
      <c r="F260" s="13" t="s">
        <v>718</v>
      </c>
      <c r="G260" s="13" t="s">
        <v>719</v>
      </c>
      <c r="H260" s="13" t="s">
        <v>565</v>
      </c>
      <c r="I260" s="13">
        <v>3</v>
      </c>
      <c r="J260" s="13">
        <v>3</v>
      </c>
      <c r="K260" s="13" t="s">
        <v>1785</v>
      </c>
      <c r="L260" s="13" t="s">
        <v>1788</v>
      </c>
      <c r="M260" s="13" t="s">
        <v>1772</v>
      </c>
      <c r="N260" s="13">
        <v>0.69</v>
      </c>
    </row>
    <row r="261" spans="1:14" ht="45" customHeight="1">
      <c r="A261" s="14" t="s">
        <v>2046</v>
      </c>
      <c r="B261" s="14" t="s">
        <v>318</v>
      </c>
      <c r="C261" s="14" t="s">
        <v>1673</v>
      </c>
      <c r="D261" s="14" t="s">
        <v>492</v>
      </c>
      <c r="E261" s="14" t="s">
        <v>1669</v>
      </c>
      <c r="F261" s="14" t="s">
        <v>725</v>
      </c>
      <c r="G261" s="14" t="s">
        <v>726</v>
      </c>
      <c r="H261" s="14" t="s">
        <v>565</v>
      </c>
      <c r="I261" s="14">
        <v>3</v>
      </c>
      <c r="J261" s="14">
        <v>3</v>
      </c>
      <c r="K261" s="14" t="s">
        <v>1785</v>
      </c>
      <c r="L261" s="14" t="s">
        <v>1788</v>
      </c>
      <c r="M261" s="14" t="s">
        <v>1772</v>
      </c>
      <c r="N261" s="14">
        <v>0.74</v>
      </c>
    </row>
    <row r="262" spans="1:14" ht="45" customHeight="1">
      <c r="A262" s="13" t="s">
        <v>2047</v>
      </c>
      <c r="B262" s="13" t="s">
        <v>318</v>
      </c>
      <c r="C262" s="13" t="s">
        <v>1673</v>
      </c>
      <c r="D262" s="13" t="s">
        <v>492</v>
      </c>
      <c r="E262" s="13" t="s">
        <v>1669</v>
      </c>
      <c r="F262" s="13" t="s">
        <v>729</v>
      </c>
      <c r="G262" s="13" t="s">
        <v>629</v>
      </c>
      <c r="H262" s="13" t="s">
        <v>630</v>
      </c>
      <c r="I262" s="13">
        <v>3</v>
      </c>
      <c r="J262" s="13">
        <v>3</v>
      </c>
      <c r="K262" s="13" t="s">
        <v>1785</v>
      </c>
      <c r="L262" s="13" t="s">
        <v>1786</v>
      </c>
      <c r="M262" s="13" t="s">
        <v>1772</v>
      </c>
      <c r="N262" s="13">
        <v>0.93</v>
      </c>
    </row>
    <row r="263" spans="1:14" ht="45" customHeight="1">
      <c r="A263" s="14" t="s">
        <v>2048</v>
      </c>
      <c r="B263" s="14" t="s">
        <v>318</v>
      </c>
      <c r="C263" s="14" t="s">
        <v>1673</v>
      </c>
      <c r="D263" s="14" t="s">
        <v>492</v>
      </c>
      <c r="E263" s="14" t="s">
        <v>1669</v>
      </c>
      <c r="F263" s="14" t="s">
        <v>730</v>
      </c>
      <c r="G263" s="14" t="s">
        <v>731</v>
      </c>
      <c r="H263" s="14" t="s">
        <v>630</v>
      </c>
      <c r="I263" s="14">
        <v>3</v>
      </c>
      <c r="J263" s="14">
        <v>3</v>
      </c>
      <c r="K263" s="14" t="s">
        <v>1785</v>
      </c>
      <c r="L263" s="14" t="s">
        <v>1786</v>
      </c>
      <c r="M263" s="14" t="s">
        <v>1772</v>
      </c>
      <c r="N263" s="14">
        <v>0.72</v>
      </c>
    </row>
    <row r="264" spans="1:14" ht="45" customHeight="1">
      <c r="A264" s="13" t="s">
        <v>2049</v>
      </c>
      <c r="B264" s="13" t="s">
        <v>318</v>
      </c>
      <c r="C264" s="13" t="s">
        <v>1675</v>
      </c>
      <c r="D264" s="13" t="s">
        <v>492</v>
      </c>
      <c r="E264" s="13" t="s">
        <v>1669</v>
      </c>
      <c r="F264" s="13" t="s">
        <v>678</v>
      </c>
      <c r="G264" s="13" t="s">
        <v>564</v>
      </c>
      <c r="H264" s="13" t="s">
        <v>565</v>
      </c>
      <c r="I264" s="13">
        <v>3</v>
      </c>
      <c r="J264" s="13">
        <v>2</v>
      </c>
      <c r="K264" s="13" t="s">
        <v>1785</v>
      </c>
      <c r="L264" s="13" t="s">
        <v>1786</v>
      </c>
      <c r="M264" s="13" t="s">
        <v>1773</v>
      </c>
      <c r="N264" s="13">
        <v>0.92</v>
      </c>
    </row>
    <row r="265" spans="1:14" ht="45" customHeight="1">
      <c r="A265" s="14" t="s">
        <v>2050</v>
      </c>
      <c r="B265" s="14" t="s">
        <v>318</v>
      </c>
      <c r="C265" s="14" t="s">
        <v>1675</v>
      </c>
      <c r="D265" s="14" t="s">
        <v>492</v>
      </c>
      <c r="E265" s="14" t="s">
        <v>1669</v>
      </c>
      <c r="F265" s="14" t="s">
        <v>683</v>
      </c>
      <c r="G265" s="14" t="s">
        <v>684</v>
      </c>
      <c r="H265" s="14" t="s">
        <v>565</v>
      </c>
      <c r="I265" s="14">
        <v>3</v>
      </c>
      <c r="J265" s="14">
        <v>2</v>
      </c>
      <c r="K265" s="14" t="s">
        <v>1785</v>
      </c>
      <c r="L265" s="14" t="s">
        <v>1788</v>
      </c>
      <c r="M265" s="14" t="s">
        <v>1773</v>
      </c>
      <c r="N265" s="14">
        <v>0.8</v>
      </c>
    </row>
    <row r="266" spans="1:14" ht="45" customHeight="1">
      <c r="A266" s="13" t="s">
        <v>2051</v>
      </c>
      <c r="B266" s="13" t="s">
        <v>318</v>
      </c>
      <c r="C266" s="13" t="s">
        <v>1675</v>
      </c>
      <c r="D266" s="13" t="s">
        <v>492</v>
      </c>
      <c r="E266" s="13" t="s">
        <v>1669</v>
      </c>
      <c r="F266" s="13" t="s">
        <v>690</v>
      </c>
      <c r="G266" s="13" t="s">
        <v>691</v>
      </c>
      <c r="H266" s="13" t="s">
        <v>565</v>
      </c>
      <c r="I266" s="13">
        <v>3</v>
      </c>
      <c r="J266" s="13">
        <v>2</v>
      </c>
      <c r="K266" s="13" t="s">
        <v>1785</v>
      </c>
      <c r="L266" s="13" t="s">
        <v>1786</v>
      </c>
      <c r="M266" s="13" t="s">
        <v>1773</v>
      </c>
      <c r="N266" s="13">
        <v>0.82</v>
      </c>
    </row>
    <row r="267" spans="1:14" ht="45" customHeight="1">
      <c r="A267" s="14" t="s">
        <v>2052</v>
      </c>
      <c r="B267" s="14" t="s">
        <v>318</v>
      </c>
      <c r="C267" s="14" t="s">
        <v>1675</v>
      </c>
      <c r="D267" s="14" t="s">
        <v>492</v>
      </c>
      <c r="E267" s="14" t="s">
        <v>1669</v>
      </c>
      <c r="F267" s="14" t="s">
        <v>697</v>
      </c>
      <c r="G267" s="14" t="s">
        <v>698</v>
      </c>
      <c r="H267" s="14" t="s">
        <v>565</v>
      </c>
      <c r="I267" s="14">
        <v>3</v>
      </c>
      <c r="J267" s="14">
        <v>2</v>
      </c>
      <c r="K267" s="14" t="s">
        <v>1785</v>
      </c>
      <c r="L267" s="14" t="s">
        <v>1786</v>
      </c>
      <c r="M267" s="14" t="s">
        <v>1773</v>
      </c>
      <c r="N267" s="14">
        <v>0.93</v>
      </c>
    </row>
    <row r="268" spans="1:14" ht="45" customHeight="1">
      <c r="A268" s="13" t="s">
        <v>2053</v>
      </c>
      <c r="B268" s="13" t="s">
        <v>318</v>
      </c>
      <c r="C268" s="13" t="s">
        <v>1675</v>
      </c>
      <c r="D268" s="13" t="s">
        <v>492</v>
      </c>
      <c r="E268" s="13" t="s">
        <v>1669</v>
      </c>
      <c r="F268" s="13" t="s">
        <v>704</v>
      </c>
      <c r="G268" s="13" t="s">
        <v>705</v>
      </c>
      <c r="H268" s="13" t="s">
        <v>565</v>
      </c>
      <c r="I268" s="13">
        <v>3</v>
      </c>
      <c r="J268" s="13">
        <v>2</v>
      </c>
      <c r="K268" s="13" t="s">
        <v>1785</v>
      </c>
      <c r="L268" s="13" t="s">
        <v>1786</v>
      </c>
      <c r="M268" s="13" t="s">
        <v>1773</v>
      </c>
      <c r="N268" s="13">
        <v>0.84</v>
      </c>
    </row>
    <row r="269" spans="1:14" ht="45" customHeight="1">
      <c r="A269" s="14" t="s">
        <v>2054</v>
      </c>
      <c r="B269" s="14" t="s">
        <v>318</v>
      </c>
      <c r="C269" s="14" t="s">
        <v>1675</v>
      </c>
      <c r="D269" s="14" t="s">
        <v>492</v>
      </c>
      <c r="E269" s="14" t="s">
        <v>1669</v>
      </c>
      <c r="F269" s="14" t="s">
        <v>711</v>
      </c>
      <c r="G269" s="14" t="s">
        <v>712</v>
      </c>
      <c r="H269" s="14" t="s">
        <v>565</v>
      </c>
      <c r="I269" s="14">
        <v>3</v>
      </c>
      <c r="J269" s="14">
        <v>2</v>
      </c>
      <c r="K269" s="14" t="s">
        <v>1785</v>
      </c>
      <c r="L269" s="14" t="s">
        <v>1788</v>
      </c>
      <c r="M269" s="14" t="s">
        <v>1773</v>
      </c>
      <c r="N269" s="14">
        <v>0.71</v>
      </c>
    </row>
    <row r="270" spans="1:14" ht="45" customHeight="1">
      <c r="A270" s="13" t="s">
        <v>2055</v>
      </c>
      <c r="B270" s="13" t="s">
        <v>318</v>
      </c>
      <c r="C270" s="13" t="s">
        <v>1675</v>
      </c>
      <c r="D270" s="13" t="s">
        <v>492</v>
      </c>
      <c r="E270" s="13" t="s">
        <v>1669</v>
      </c>
      <c r="F270" s="13" t="s">
        <v>718</v>
      </c>
      <c r="G270" s="13" t="s">
        <v>719</v>
      </c>
      <c r="H270" s="13" t="s">
        <v>565</v>
      </c>
      <c r="I270" s="13">
        <v>3</v>
      </c>
      <c r="J270" s="13">
        <v>2</v>
      </c>
      <c r="K270" s="13" t="s">
        <v>1785</v>
      </c>
      <c r="L270" s="13" t="s">
        <v>1786</v>
      </c>
      <c r="M270" s="13" t="s">
        <v>1773</v>
      </c>
      <c r="N270" s="13">
        <v>0.73</v>
      </c>
    </row>
    <row r="271" spans="1:14" ht="45" customHeight="1">
      <c r="A271" s="14" t="s">
        <v>2056</v>
      </c>
      <c r="B271" s="14" t="s">
        <v>318</v>
      </c>
      <c r="C271" s="14" t="s">
        <v>1675</v>
      </c>
      <c r="D271" s="14" t="s">
        <v>492</v>
      </c>
      <c r="E271" s="14" t="s">
        <v>1669</v>
      </c>
      <c r="F271" s="14" t="s">
        <v>725</v>
      </c>
      <c r="G271" s="14" t="s">
        <v>726</v>
      </c>
      <c r="H271" s="14" t="s">
        <v>565</v>
      </c>
      <c r="I271" s="14">
        <v>3</v>
      </c>
      <c r="J271" s="14">
        <v>3</v>
      </c>
      <c r="K271" s="14" t="s">
        <v>1785</v>
      </c>
      <c r="L271" s="14" t="s">
        <v>1788</v>
      </c>
      <c r="M271" s="14" t="s">
        <v>1773</v>
      </c>
      <c r="N271" s="14">
        <v>0.91</v>
      </c>
    </row>
    <row r="272" spans="1:14" ht="45" customHeight="1">
      <c r="A272" s="13" t="s">
        <v>2057</v>
      </c>
      <c r="B272" s="13" t="s">
        <v>318</v>
      </c>
      <c r="C272" s="13" t="s">
        <v>1675</v>
      </c>
      <c r="D272" s="13" t="s">
        <v>492</v>
      </c>
      <c r="E272" s="13" t="s">
        <v>1669</v>
      </c>
      <c r="F272" s="13" t="s">
        <v>729</v>
      </c>
      <c r="G272" s="13" t="s">
        <v>629</v>
      </c>
      <c r="H272" s="13" t="s">
        <v>630</v>
      </c>
      <c r="I272" s="13">
        <v>3</v>
      </c>
      <c r="J272" s="13">
        <v>3</v>
      </c>
      <c r="K272" s="13" t="s">
        <v>1785</v>
      </c>
      <c r="L272" s="13" t="s">
        <v>1788</v>
      </c>
      <c r="M272" s="13" t="s">
        <v>1773</v>
      </c>
      <c r="N272" s="13">
        <v>0.71</v>
      </c>
    </row>
    <row r="273" spans="1:14" ht="45" customHeight="1">
      <c r="A273" s="14" t="s">
        <v>2058</v>
      </c>
      <c r="B273" s="14" t="s">
        <v>318</v>
      </c>
      <c r="C273" s="14" t="s">
        <v>1675</v>
      </c>
      <c r="D273" s="14" t="s">
        <v>492</v>
      </c>
      <c r="E273" s="14" t="s">
        <v>1669</v>
      </c>
      <c r="F273" s="14" t="s">
        <v>730</v>
      </c>
      <c r="G273" s="14" t="s">
        <v>731</v>
      </c>
      <c r="H273" s="14" t="s">
        <v>630</v>
      </c>
      <c r="I273" s="14">
        <v>3</v>
      </c>
      <c r="J273" s="14">
        <v>2</v>
      </c>
      <c r="K273" s="14" t="s">
        <v>1785</v>
      </c>
      <c r="L273" s="14" t="s">
        <v>1786</v>
      </c>
      <c r="M273" s="14" t="s">
        <v>1773</v>
      </c>
      <c r="N273" s="14">
        <v>0.71</v>
      </c>
    </row>
    <row r="274" spans="1:14" ht="45" customHeight="1">
      <c r="A274" s="13" t="s">
        <v>2059</v>
      </c>
      <c r="B274" s="13" t="s">
        <v>318</v>
      </c>
      <c r="C274" s="13" t="s">
        <v>1677</v>
      </c>
      <c r="D274" s="13" t="s">
        <v>492</v>
      </c>
      <c r="E274" s="13" t="s">
        <v>1669</v>
      </c>
      <c r="F274" s="13" t="s">
        <v>678</v>
      </c>
      <c r="G274" s="13" t="s">
        <v>564</v>
      </c>
      <c r="H274" s="13" t="s">
        <v>565</v>
      </c>
      <c r="I274" s="13">
        <v>3</v>
      </c>
      <c r="J274" s="13"/>
      <c r="K274" s="13" t="s">
        <v>1808</v>
      </c>
      <c r="L274" s="13" t="s">
        <v>1809</v>
      </c>
      <c r="M274" s="13" t="s">
        <v>1774</v>
      </c>
      <c r="N274" s="13"/>
    </row>
    <row r="275" spans="1:14" ht="45" customHeight="1">
      <c r="A275" s="14" t="s">
        <v>2060</v>
      </c>
      <c r="B275" s="14" t="s">
        <v>318</v>
      </c>
      <c r="C275" s="14" t="s">
        <v>1677</v>
      </c>
      <c r="D275" s="14" t="s">
        <v>492</v>
      </c>
      <c r="E275" s="14" t="s">
        <v>1669</v>
      </c>
      <c r="F275" s="14" t="s">
        <v>683</v>
      </c>
      <c r="G275" s="14" t="s">
        <v>684</v>
      </c>
      <c r="H275" s="14" t="s">
        <v>565</v>
      </c>
      <c r="I275" s="14">
        <v>3</v>
      </c>
      <c r="J275" s="14"/>
      <c r="K275" s="14" t="s">
        <v>1808</v>
      </c>
      <c r="L275" s="14" t="s">
        <v>1809</v>
      </c>
      <c r="M275" s="14" t="s">
        <v>1774</v>
      </c>
      <c r="N275" s="14"/>
    </row>
    <row r="276" spans="1:14" ht="45" customHeight="1">
      <c r="A276" s="13" t="s">
        <v>2061</v>
      </c>
      <c r="B276" s="13" t="s">
        <v>318</v>
      </c>
      <c r="C276" s="13" t="s">
        <v>1677</v>
      </c>
      <c r="D276" s="13" t="s">
        <v>492</v>
      </c>
      <c r="E276" s="13" t="s">
        <v>1669</v>
      </c>
      <c r="F276" s="13" t="s">
        <v>690</v>
      </c>
      <c r="G276" s="13" t="s">
        <v>691</v>
      </c>
      <c r="H276" s="13" t="s">
        <v>565</v>
      </c>
      <c r="I276" s="13">
        <v>3</v>
      </c>
      <c r="J276" s="13"/>
      <c r="K276" s="13" t="s">
        <v>1808</v>
      </c>
      <c r="L276" s="13" t="s">
        <v>1809</v>
      </c>
      <c r="M276" s="13" t="s">
        <v>1774</v>
      </c>
      <c r="N276" s="13"/>
    </row>
    <row r="277" spans="1:14" ht="45" customHeight="1">
      <c r="A277" s="14" t="s">
        <v>2062</v>
      </c>
      <c r="B277" s="14" t="s">
        <v>318</v>
      </c>
      <c r="C277" s="14" t="s">
        <v>1677</v>
      </c>
      <c r="D277" s="14" t="s">
        <v>492</v>
      </c>
      <c r="E277" s="14" t="s">
        <v>1669</v>
      </c>
      <c r="F277" s="14" t="s">
        <v>697</v>
      </c>
      <c r="G277" s="14" t="s">
        <v>698</v>
      </c>
      <c r="H277" s="14" t="s">
        <v>565</v>
      </c>
      <c r="I277" s="14">
        <v>3</v>
      </c>
      <c r="J277" s="14"/>
      <c r="K277" s="14" t="s">
        <v>1808</v>
      </c>
      <c r="L277" s="14" t="s">
        <v>1809</v>
      </c>
      <c r="M277" s="14" t="s">
        <v>1774</v>
      </c>
      <c r="N277" s="14"/>
    </row>
    <row r="278" spans="1:14" ht="45" customHeight="1">
      <c r="A278" s="13" t="s">
        <v>2063</v>
      </c>
      <c r="B278" s="13" t="s">
        <v>318</v>
      </c>
      <c r="C278" s="13" t="s">
        <v>1677</v>
      </c>
      <c r="D278" s="13" t="s">
        <v>492</v>
      </c>
      <c r="E278" s="13" t="s">
        <v>1669</v>
      </c>
      <c r="F278" s="13" t="s">
        <v>704</v>
      </c>
      <c r="G278" s="13" t="s">
        <v>705</v>
      </c>
      <c r="H278" s="13" t="s">
        <v>565</v>
      </c>
      <c r="I278" s="13">
        <v>3</v>
      </c>
      <c r="J278" s="13"/>
      <c r="K278" s="13" t="s">
        <v>1808</v>
      </c>
      <c r="L278" s="13" t="s">
        <v>1809</v>
      </c>
      <c r="M278" s="13" t="s">
        <v>1774</v>
      </c>
      <c r="N278" s="13"/>
    </row>
    <row r="279" spans="1:14" ht="45" customHeight="1">
      <c r="A279" s="14" t="s">
        <v>2064</v>
      </c>
      <c r="B279" s="14" t="s">
        <v>318</v>
      </c>
      <c r="C279" s="14" t="s">
        <v>1677</v>
      </c>
      <c r="D279" s="14" t="s">
        <v>492</v>
      </c>
      <c r="E279" s="14" t="s">
        <v>1669</v>
      </c>
      <c r="F279" s="14" t="s">
        <v>711</v>
      </c>
      <c r="G279" s="14" t="s">
        <v>712</v>
      </c>
      <c r="H279" s="14" t="s">
        <v>565</v>
      </c>
      <c r="I279" s="14">
        <v>3</v>
      </c>
      <c r="J279" s="14"/>
      <c r="K279" s="14" t="s">
        <v>1808</v>
      </c>
      <c r="L279" s="14" t="s">
        <v>1809</v>
      </c>
      <c r="M279" s="14" t="s">
        <v>1774</v>
      </c>
      <c r="N279" s="14"/>
    </row>
    <row r="280" spans="1:14" ht="45" customHeight="1">
      <c r="A280" s="13" t="s">
        <v>2065</v>
      </c>
      <c r="B280" s="13" t="s">
        <v>318</v>
      </c>
      <c r="C280" s="13" t="s">
        <v>1677</v>
      </c>
      <c r="D280" s="13" t="s">
        <v>492</v>
      </c>
      <c r="E280" s="13" t="s">
        <v>1669</v>
      </c>
      <c r="F280" s="13" t="s">
        <v>718</v>
      </c>
      <c r="G280" s="13" t="s">
        <v>719</v>
      </c>
      <c r="H280" s="13" t="s">
        <v>565</v>
      </c>
      <c r="I280" s="13">
        <v>3</v>
      </c>
      <c r="J280" s="13"/>
      <c r="K280" s="13" t="s">
        <v>1808</v>
      </c>
      <c r="L280" s="13" t="s">
        <v>1809</v>
      </c>
      <c r="M280" s="13" t="s">
        <v>1774</v>
      </c>
      <c r="N280" s="13"/>
    </row>
    <row r="281" spans="1:14" ht="45" customHeight="1">
      <c r="A281" s="14" t="s">
        <v>2066</v>
      </c>
      <c r="B281" s="14" t="s">
        <v>318</v>
      </c>
      <c r="C281" s="14" t="s">
        <v>1677</v>
      </c>
      <c r="D281" s="14" t="s">
        <v>492</v>
      </c>
      <c r="E281" s="14" t="s">
        <v>1669</v>
      </c>
      <c r="F281" s="14" t="s">
        <v>725</v>
      </c>
      <c r="G281" s="14" t="s">
        <v>726</v>
      </c>
      <c r="H281" s="14" t="s">
        <v>565</v>
      </c>
      <c r="I281" s="14">
        <v>3</v>
      </c>
      <c r="J281" s="14"/>
      <c r="K281" s="14" t="s">
        <v>1808</v>
      </c>
      <c r="L281" s="14" t="s">
        <v>1809</v>
      </c>
      <c r="M281" s="14" t="s">
        <v>1774</v>
      </c>
      <c r="N281" s="14"/>
    </row>
    <row r="282" spans="1:14" ht="45" customHeight="1">
      <c r="A282" s="13" t="s">
        <v>2067</v>
      </c>
      <c r="B282" s="13" t="s">
        <v>318</v>
      </c>
      <c r="C282" s="13" t="s">
        <v>1677</v>
      </c>
      <c r="D282" s="13" t="s">
        <v>492</v>
      </c>
      <c r="E282" s="13" t="s">
        <v>1669</v>
      </c>
      <c r="F282" s="13" t="s">
        <v>729</v>
      </c>
      <c r="G282" s="13" t="s">
        <v>629</v>
      </c>
      <c r="H282" s="13" t="s">
        <v>630</v>
      </c>
      <c r="I282" s="13">
        <v>3</v>
      </c>
      <c r="J282" s="13"/>
      <c r="K282" s="13" t="s">
        <v>1808</v>
      </c>
      <c r="L282" s="13" t="s">
        <v>1809</v>
      </c>
      <c r="M282" s="13" t="s">
        <v>1774</v>
      </c>
      <c r="N282" s="13"/>
    </row>
    <row r="283" spans="1:14" ht="45" customHeight="1">
      <c r="A283" s="14" t="s">
        <v>2068</v>
      </c>
      <c r="B283" s="14" t="s">
        <v>318</v>
      </c>
      <c r="C283" s="14" t="s">
        <v>1677</v>
      </c>
      <c r="D283" s="14" t="s">
        <v>492</v>
      </c>
      <c r="E283" s="14" t="s">
        <v>1669</v>
      </c>
      <c r="F283" s="14" t="s">
        <v>730</v>
      </c>
      <c r="G283" s="14" t="s">
        <v>731</v>
      </c>
      <c r="H283" s="14" t="s">
        <v>630</v>
      </c>
      <c r="I283" s="14">
        <v>3</v>
      </c>
      <c r="J283" s="14"/>
      <c r="K283" s="14" t="s">
        <v>1808</v>
      </c>
      <c r="L283" s="14" t="s">
        <v>1809</v>
      </c>
      <c r="M283" s="14" t="s">
        <v>1774</v>
      </c>
      <c r="N283" s="14"/>
    </row>
    <row r="284" spans="1:14" ht="45" customHeight="1">
      <c r="A284" s="13" t="s">
        <v>2069</v>
      </c>
      <c r="B284" s="13" t="s">
        <v>318</v>
      </c>
      <c r="C284" s="13" t="s">
        <v>1679</v>
      </c>
      <c r="D284" s="13" t="s">
        <v>497</v>
      </c>
      <c r="E284" s="13" t="s">
        <v>1681</v>
      </c>
      <c r="F284" s="13" t="s">
        <v>678</v>
      </c>
      <c r="G284" s="13" t="s">
        <v>564</v>
      </c>
      <c r="H284" s="13" t="s">
        <v>565</v>
      </c>
      <c r="I284" s="13">
        <v>4</v>
      </c>
      <c r="J284" s="13">
        <v>1</v>
      </c>
      <c r="K284" s="13" t="s">
        <v>1785</v>
      </c>
      <c r="L284" s="13" t="s">
        <v>1788</v>
      </c>
      <c r="M284" s="13" t="s">
        <v>1775</v>
      </c>
      <c r="N284" s="13">
        <v>0.75</v>
      </c>
    </row>
    <row r="285" spans="1:14" ht="45" customHeight="1">
      <c r="A285" s="14" t="s">
        <v>2070</v>
      </c>
      <c r="B285" s="14" t="s">
        <v>318</v>
      </c>
      <c r="C285" s="14" t="s">
        <v>1679</v>
      </c>
      <c r="D285" s="14" t="s">
        <v>497</v>
      </c>
      <c r="E285" s="14" t="s">
        <v>1681</v>
      </c>
      <c r="F285" s="14" t="s">
        <v>683</v>
      </c>
      <c r="G285" s="14" t="s">
        <v>684</v>
      </c>
      <c r="H285" s="14" t="s">
        <v>565</v>
      </c>
      <c r="I285" s="14">
        <v>4</v>
      </c>
      <c r="J285" s="14">
        <v>1</v>
      </c>
      <c r="K285" s="14" t="s">
        <v>1785</v>
      </c>
      <c r="L285" s="14" t="s">
        <v>1786</v>
      </c>
      <c r="M285" s="14" t="s">
        <v>1775</v>
      </c>
      <c r="N285" s="14">
        <v>0.8</v>
      </c>
    </row>
    <row r="286" spans="1:14" ht="45" customHeight="1">
      <c r="A286" s="13" t="s">
        <v>2071</v>
      </c>
      <c r="B286" s="13" t="s">
        <v>318</v>
      </c>
      <c r="C286" s="13" t="s">
        <v>1679</v>
      </c>
      <c r="D286" s="13" t="s">
        <v>497</v>
      </c>
      <c r="E286" s="13" t="s">
        <v>1681</v>
      </c>
      <c r="F286" s="13" t="s">
        <v>690</v>
      </c>
      <c r="G286" s="13" t="s">
        <v>691</v>
      </c>
      <c r="H286" s="13" t="s">
        <v>565</v>
      </c>
      <c r="I286" s="13">
        <v>4</v>
      </c>
      <c r="J286" s="13">
        <v>2</v>
      </c>
      <c r="K286" s="13" t="s">
        <v>1785</v>
      </c>
      <c r="L286" s="13" t="s">
        <v>1786</v>
      </c>
      <c r="M286" s="13" t="s">
        <v>1775</v>
      </c>
      <c r="N286" s="13">
        <v>0.74</v>
      </c>
    </row>
    <row r="287" spans="1:14" ht="45" customHeight="1">
      <c r="A287" s="14" t="s">
        <v>2072</v>
      </c>
      <c r="B287" s="14" t="s">
        <v>318</v>
      </c>
      <c r="C287" s="14" t="s">
        <v>1679</v>
      </c>
      <c r="D287" s="14" t="s">
        <v>497</v>
      </c>
      <c r="E287" s="14" t="s">
        <v>1681</v>
      </c>
      <c r="F287" s="14" t="s">
        <v>697</v>
      </c>
      <c r="G287" s="14" t="s">
        <v>698</v>
      </c>
      <c r="H287" s="14" t="s">
        <v>565</v>
      </c>
      <c r="I287" s="14">
        <v>4</v>
      </c>
      <c r="J287" s="14">
        <v>1</v>
      </c>
      <c r="K287" s="14" t="s">
        <v>1785</v>
      </c>
      <c r="L287" s="14" t="s">
        <v>1786</v>
      </c>
      <c r="M287" s="14" t="s">
        <v>1775</v>
      </c>
      <c r="N287" s="14">
        <v>0.85</v>
      </c>
    </row>
    <row r="288" spans="1:14" ht="45" customHeight="1">
      <c r="A288" s="13" t="s">
        <v>2073</v>
      </c>
      <c r="B288" s="13" t="s">
        <v>318</v>
      </c>
      <c r="C288" s="13" t="s">
        <v>1679</v>
      </c>
      <c r="D288" s="13" t="s">
        <v>497</v>
      </c>
      <c r="E288" s="13" t="s">
        <v>1681</v>
      </c>
      <c r="F288" s="13" t="s">
        <v>704</v>
      </c>
      <c r="G288" s="13" t="s">
        <v>705</v>
      </c>
      <c r="H288" s="13" t="s">
        <v>565</v>
      </c>
      <c r="I288" s="13">
        <v>4</v>
      </c>
      <c r="J288" s="13">
        <v>1</v>
      </c>
      <c r="K288" s="13" t="s">
        <v>1785</v>
      </c>
      <c r="L288" s="13" t="s">
        <v>1788</v>
      </c>
      <c r="M288" s="13" t="s">
        <v>1775</v>
      </c>
      <c r="N288" s="13">
        <v>0.94</v>
      </c>
    </row>
    <row r="289" spans="1:14" ht="45" customHeight="1">
      <c r="A289" s="14" t="s">
        <v>2074</v>
      </c>
      <c r="B289" s="14" t="s">
        <v>318</v>
      </c>
      <c r="C289" s="14" t="s">
        <v>1679</v>
      </c>
      <c r="D289" s="14" t="s">
        <v>497</v>
      </c>
      <c r="E289" s="14" t="s">
        <v>1681</v>
      </c>
      <c r="F289" s="14" t="s">
        <v>711</v>
      </c>
      <c r="G289" s="14" t="s">
        <v>712</v>
      </c>
      <c r="H289" s="14" t="s">
        <v>565</v>
      </c>
      <c r="I289" s="14">
        <v>4</v>
      </c>
      <c r="J289" s="14">
        <v>1</v>
      </c>
      <c r="K289" s="14" t="s">
        <v>1785</v>
      </c>
      <c r="L289" s="14" t="s">
        <v>1786</v>
      </c>
      <c r="M289" s="14" t="s">
        <v>1775</v>
      </c>
      <c r="N289" s="14">
        <v>0.92</v>
      </c>
    </row>
    <row r="290" spans="1:14" ht="45" customHeight="1">
      <c r="A290" s="13" t="s">
        <v>2075</v>
      </c>
      <c r="B290" s="13" t="s">
        <v>318</v>
      </c>
      <c r="C290" s="13" t="s">
        <v>1679</v>
      </c>
      <c r="D290" s="13" t="s">
        <v>497</v>
      </c>
      <c r="E290" s="13" t="s">
        <v>1681</v>
      </c>
      <c r="F290" s="13" t="s">
        <v>718</v>
      </c>
      <c r="G290" s="13" t="s">
        <v>719</v>
      </c>
      <c r="H290" s="13" t="s">
        <v>565</v>
      </c>
      <c r="I290" s="13">
        <v>4</v>
      </c>
      <c r="J290" s="13">
        <v>1</v>
      </c>
      <c r="K290" s="13" t="s">
        <v>1785</v>
      </c>
      <c r="L290" s="13" t="s">
        <v>1788</v>
      </c>
      <c r="M290" s="13" t="s">
        <v>1775</v>
      </c>
      <c r="N290" s="13">
        <v>0.71</v>
      </c>
    </row>
    <row r="291" spans="1:14" ht="45" customHeight="1">
      <c r="A291" s="14" t="s">
        <v>2076</v>
      </c>
      <c r="B291" s="14" t="s">
        <v>318</v>
      </c>
      <c r="C291" s="14" t="s">
        <v>1679</v>
      </c>
      <c r="D291" s="14" t="s">
        <v>497</v>
      </c>
      <c r="E291" s="14" t="s">
        <v>1681</v>
      </c>
      <c r="F291" s="14" t="s">
        <v>725</v>
      </c>
      <c r="G291" s="14" t="s">
        <v>726</v>
      </c>
      <c r="H291" s="14" t="s">
        <v>565</v>
      </c>
      <c r="I291" s="14">
        <v>4</v>
      </c>
      <c r="J291" s="14">
        <v>2</v>
      </c>
      <c r="K291" s="14" t="s">
        <v>1785</v>
      </c>
      <c r="L291" s="14" t="s">
        <v>1786</v>
      </c>
      <c r="M291" s="14" t="s">
        <v>1775</v>
      </c>
      <c r="N291" s="14">
        <v>0.94</v>
      </c>
    </row>
    <row r="292" spans="1:14" ht="45" customHeight="1">
      <c r="A292" s="13" t="s">
        <v>2077</v>
      </c>
      <c r="B292" s="13" t="s">
        <v>318</v>
      </c>
      <c r="C292" s="13" t="s">
        <v>1679</v>
      </c>
      <c r="D292" s="13" t="s">
        <v>497</v>
      </c>
      <c r="E292" s="13" t="s">
        <v>1681</v>
      </c>
      <c r="F292" s="13" t="s">
        <v>729</v>
      </c>
      <c r="G292" s="13" t="s">
        <v>629</v>
      </c>
      <c r="H292" s="13" t="s">
        <v>630</v>
      </c>
      <c r="I292" s="13">
        <v>4</v>
      </c>
      <c r="J292" s="13">
        <v>1</v>
      </c>
      <c r="K292" s="13" t="s">
        <v>1785</v>
      </c>
      <c r="L292" s="13" t="s">
        <v>1786</v>
      </c>
      <c r="M292" s="13" t="s">
        <v>1775</v>
      </c>
      <c r="N292" s="13">
        <v>0.71</v>
      </c>
    </row>
    <row r="293" spans="1:14" ht="45" customHeight="1">
      <c r="A293" s="14" t="s">
        <v>2078</v>
      </c>
      <c r="B293" s="14" t="s">
        <v>318</v>
      </c>
      <c r="C293" s="14" t="s">
        <v>1679</v>
      </c>
      <c r="D293" s="14" t="s">
        <v>497</v>
      </c>
      <c r="E293" s="14" t="s">
        <v>1681</v>
      </c>
      <c r="F293" s="14" t="s">
        <v>730</v>
      </c>
      <c r="G293" s="14" t="s">
        <v>731</v>
      </c>
      <c r="H293" s="14" t="s">
        <v>630</v>
      </c>
      <c r="I293" s="14">
        <v>4</v>
      </c>
      <c r="J293" s="14">
        <v>1</v>
      </c>
      <c r="K293" s="14" t="s">
        <v>1785</v>
      </c>
      <c r="L293" s="14" t="s">
        <v>1786</v>
      </c>
      <c r="M293" s="14" t="s">
        <v>1775</v>
      </c>
      <c r="N293" s="14">
        <v>0.88</v>
      </c>
    </row>
    <row r="294" spans="1:14" ht="45" customHeight="1">
      <c r="A294" s="13" t="s">
        <v>2079</v>
      </c>
      <c r="B294" s="13" t="s">
        <v>318</v>
      </c>
      <c r="C294" s="13" t="s">
        <v>1684</v>
      </c>
      <c r="D294" s="13" t="s">
        <v>497</v>
      </c>
      <c r="E294" s="13" t="s">
        <v>1681</v>
      </c>
      <c r="F294" s="13" t="s">
        <v>678</v>
      </c>
      <c r="G294" s="13" t="s">
        <v>564</v>
      </c>
      <c r="H294" s="13" t="s">
        <v>565</v>
      </c>
      <c r="I294" s="13">
        <v>4</v>
      </c>
      <c r="J294" s="13">
        <v>4</v>
      </c>
      <c r="K294" s="13" t="s">
        <v>1785</v>
      </c>
      <c r="L294" s="13" t="s">
        <v>1786</v>
      </c>
      <c r="M294" s="13" t="s">
        <v>1776</v>
      </c>
      <c r="N294" s="13">
        <v>0.79</v>
      </c>
    </row>
    <row r="295" spans="1:14" ht="45" customHeight="1">
      <c r="A295" s="14" t="s">
        <v>2080</v>
      </c>
      <c r="B295" s="14" t="s">
        <v>318</v>
      </c>
      <c r="C295" s="14" t="s">
        <v>1684</v>
      </c>
      <c r="D295" s="14" t="s">
        <v>497</v>
      </c>
      <c r="E295" s="14" t="s">
        <v>1681</v>
      </c>
      <c r="F295" s="14" t="s">
        <v>683</v>
      </c>
      <c r="G295" s="14" t="s">
        <v>684</v>
      </c>
      <c r="H295" s="14" t="s">
        <v>565</v>
      </c>
      <c r="I295" s="14">
        <v>4</v>
      </c>
      <c r="J295" s="14">
        <v>4</v>
      </c>
      <c r="K295" s="14" t="s">
        <v>1785</v>
      </c>
      <c r="L295" s="14" t="s">
        <v>1788</v>
      </c>
      <c r="M295" s="14" t="s">
        <v>1776</v>
      </c>
      <c r="N295" s="14">
        <v>0.79</v>
      </c>
    </row>
    <row r="296" spans="1:14" ht="45" customHeight="1">
      <c r="A296" s="13" t="s">
        <v>2081</v>
      </c>
      <c r="B296" s="13" t="s">
        <v>318</v>
      </c>
      <c r="C296" s="13" t="s">
        <v>1684</v>
      </c>
      <c r="D296" s="13" t="s">
        <v>497</v>
      </c>
      <c r="E296" s="13" t="s">
        <v>1681</v>
      </c>
      <c r="F296" s="13" t="s">
        <v>690</v>
      </c>
      <c r="G296" s="13" t="s">
        <v>691</v>
      </c>
      <c r="H296" s="13" t="s">
        <v>565</v>
      </c>
      <c r="I296" s="13">
        <v>4</v>
      </c>
      <c r="J296" s="13">
        <v>4</v>
      </c>
      <c r="K296" s="13" t="s">
        <v>1785</v>
      </c>
      <c r="L296" s="13" t="s">
        <v>1788</v>
      </c>
      <c r="M296" s="13" t="s">
        <v>1776</v>
      </c>
      <c r="N296" s="13">
        <v>0.92</v>
      </c>
    </row>
    <row r="297" spans="1:14" ht="45" customHeight="1">
      <c r="A297" s="14" t="s">
        <v>2082</v>
      </c>
      <c r="B297" s="14" t="s">
        <v>318</v>
      </c>
      <c r="C297" s="14" t="s">
        <v>1684</v>
      </c>
      <c r="D297" s="14" t="s">
        <v>497</v>
      </c>
      <c r="E297" s="14" t="s">
        <v>1681</v>
      </c>
      <c r="F297" s="14" t="s">
        <v>697</v>
      </c>
      <c r="G297" s="14" t="s">
        <v>698</v>
      </c>
      <c r="H297" s="14" t="s">
        <v>565</v>
      </c>
      <c r="I297" s="14">
        <v>4</v>
      </c>
      <c r="J297" s="14">
        <v>3</v>
      </c>
      <c r="K297" s="14" t="s">
        <v>1785</v>
      </c>
      <c r="L297" s="14" t="s">
        <v>1788</v>
      </c>
      <c r="M297" s="14" t="s">
        <v>1776</v>
      </c>
      <c r="N297" s="14">
        <v>0.71</v>
      </c>
    </row>
    <row r="298" spans="1:14" ht="45" customHeight="1">
      <c r="A298" s="13" t="s">
        <v>2083</v>
      </c>
      <c r="B298" s="13" t="s">
        <v>318</v>
      </c>
      <c r="C298" s="13" t="s">
        <v>1684</v>
      </c>
      <c r="D298" s="13" t="s">
        <v>497</v>
      </c>
      <c r="E298" s="13" t="s">
        <v>1681</v>
      </c>
      <c r="F298" s="13" t="s">
        <v>704</v>
      </c>
      <c r="G298" s="13" t="s">
        <v>705</v>
      </c>
      <c r="H298" s="13" t="s">
        <v>565</v>
      </c>
      <c r="I298" s="13">
        <v>4</v>
      </c>
      <c r="J298" s="13">
        <v>4</v>
      </c>
      <c r="K298" s="13" t="s">
        <v>1785</v>
      </c>
      <c r="L298" s="13" t="s">
        <v>1786</v>
      </c>
      <c r="M298" s="13" t="s">
        <v>1776</v>
      </c>
      <c r="N298" s="13">
        <v>0.83</v>
      </c>
    </row>
    <row r="299" spans="1:14" ht="45" customHeight="1">
      <c r="A299" s="14" t="s">
        <v>2084</v>
      </c>
      <c r="B299" s="14" t="s">
        <v>318</v>
      </c>
      <c r="C299" s="14" t="s">
        <v>1684</v>
      </c>
      <c r="D299" s="14" t="s">
        <v>497</v>
      </c>
      <c r="E299" s="14" t="s">
        <v>1681</v>
      </c>
      <c r="F299" s="14" t="s">
        <v>711</v>
      </c>
      <c r="G299" s="14" t="s">
        <v>712</v>
      </c>
      <c r="H299" s="14" t="s">
        <v>565</v>
      </c>
      <c r="I299" s="14">
        <v>4</v>
      </c>
      <c r="J299" s="14">
        <v>4</v>
      </c>
      <c r="K299" s="14" t="s">
        <v>1785</v>
      </c>
      <c r="L299" s="14" t="s">
        <v>1788</v>
      </c>
      <c r="M299" s="14" t="s">
        <v>1776</v>
      </c>
      <c r="N299" s="14">
        <v>0.77</v>
      </c>
    </row>
    <row r="300" spans="1:14" ht="45" customHeight="1">
      <c r="A300" s="13" t="s">
        <v>2085</v>
      </c>
      <c r="B300" s="13" t="s">
        <v>318</v>
      </c>
      <c r="C300" s="13" t="s">
        <v>1684</v>
      </c>
      <c r="D300" s="13" t="s">
        <v>497</v>
      </c>
      <c r="E300" s="13" t="s">
        <v>1681</v>
      </c>
      <c r="F300" s="13" t="s">
        <v>718</v>
      </c>
      <c r="G300" s="13" t="s">
        <v>719</v>
      </c>
      <c r="H300" s="13" t="s">
        <v>565</v>
      </c>
      <c r="I300" s="13">
        <v>4</v>
      </c>
      <c r="J300" s="13">
        <v>4</v>
      </c>
      <c r="K300" s="13" t="s">
        <v>1785</v>
      </c>
      <c r="L300" s="13" t="s">
        <v>1786</v>
      </c>
      <c r="M300" s="13" t="s">
        <v>1776</v>
      </c>
      <c r="N300" s="13">
        <v>0.93</v>
      </c>
    </row>
    <row r="301" spans="1:14" ht="45" customHeight="1">
      <c r="A301" s="14" t="s">
        <v>2086</v>
      </c>
      <c r="B301" s="14" t="s">
        <v>318</v>
      </c>
      <c r="C301" s="14" t="s">
        <v>1684</v>
      </c>
      <c r="D301" s="14" t="s">
        <v>497</v>
      </c>
      <c r="E301" s="14" t="s">
        <v>1681</v>
      </c>
      <c r="F301" s="14" t="s">
        <v>725</v>
      </c>
      <c r="G301" s="14" t="s">
        <v>726</v>
      </c>
      <c r="H301" s="14" t="s">
        <v>565</v>
      </c>
      <c r="I301" s="14">
        <v>4</v>
      </c>
      <c r="J301" s="14">
        <v>4</v>
      </c>
      <c r="K301" s="14" t="s">
        <v>1785</v>
      </c>
      <c r="L301" s="14" t="s">
        <v>1786</v>
      </c>
      <c r="M301" s="14" t="s">
        <v>1776</v>
      </c>
      <c r="N301" s="14">
        <v>0.74</v>
      </c>
    </row>
    <row r="302" spans="1:14" ht="45" customHeight="1">
      <c r="A302" s="13" t="s">
        <v>2087</v>
      </c>
      <c r="B302" s="13" t="s">
        <v>318</v>
      </c>
      <c r="C302" s="13" t="s">
        <v>1684</v>
      </c>
      <c r="D302" s="13" t="s">
        <v>497</v>
      </c>
      <c r="E302" s="13" t="s">
        <v>1681</v>
      </c>
      <c r="F302" s="13" t="s">
        <v>729</v>
      </c>
      <c r="G302" s="13" t="s">
        <v>629</v>
      </c>
      <c r="H302" s="13" t="s">
        <v>630</v>
      </c>
      <c r="I302" s="13">
        <v>4</v>
      </c>
      <c r="J302" s="13">
        <v>4</v>
      </c>
      <c r="K302" s="13" t="s">
        <v>1785</v>
      </c>
      <c r="L302" s="13" t="s">
        <v>1788</v>
      </c>
      <c r="M302" s="13" t="s">
        <v>1776</v>
      </c>
      <c r="N302" s="13">
        <v>0.9</v>
      </c>
    </row>
    <row r="303" spans="1:14" ht="45" customHeight="1">
      <c r="A303" s="14" t="s">
        <v>2088</v>
      </c>
      <c r="B303" s="14" t="s">
        <v>318</v>
      </c>
      <c r="C303" s="14" t="s">
        <v>1684</v>
      </c>
      <c r="D303" s="14" t="s">
        <v>497</v>
      </c>
      <c r="E303" s="14" t="s">
        <v>1681</v>
      </c>
      <c r="F303" s="14" t="s">
        <v>730</v>
      </c>
      <c r="G303" s="14" t="s">
        <v>731</v>
      </c>
      <c r="H303" s="14" t="s">
        <v>630</v>
      </c>
      <c r="I303" s="14">
        <v>4</v>
      </c>
      <c r="J303" s="14">
        <v>3</v>
      </c>
      <c r="K303" s="14" t="s">
        <v>1785</v>
      </c>
      <c r="L303" s="14" t="s">
        <v>1786</v>
      </c>
      <c r="M303" s="14" t="s">
        <v>1776</v>
      </c>
      <c r="N303" s="14">
        <v>0.89</v>
      </c>
    </row>
    <row r="304" spans="1:14" ht="45" customHeight="1">
      <c r="A304" s="13" t="s">
        <v>2089</v>
      </c>
      <c r="B304" s="13" t="s">
        <v>318</v>
      </c>
      <c r="C304" s="13" t="s">
        <v>1686</v>
      </c>
      <c r="D304" s="13" t="s">
        <v>497</v>
      </c>
      <c r="E304" s="13" t="s">
        <v>1681</v>
      </c>
      <c r="F304" s="13" t="s">
        <v>678</v>
      </c>
      <c r="G304" s="13" t="s">
        <v>564</v>
      </c>
      <c r="H304" s="13" t="s">
        <v>565</v>
      </c>
      <c r="I304" s="13">
        <v>4</v>
      </c>
      <c r="J304" s="13">
        <v>4</v>
      </c>
      <c r="K304" s="13" t="s">
        <v>1785</v>
      </c>
      <c r="L304" s="13" t="s">
        <v>1786</v>
      </c>
      <c r="M304" s="13" t="s">
        <v>1777</v>
      </c>
      <c r="N304" s="13">
        <v>0.69</v>
      </c>
    </row>
    <row r="305" spans="1:14" ht="45" customHeight="1">
      <c r="A305" s="14" t="s">
        <v>2090</v>
      </c>
      <c r="B305" s="14" t="s">
        <v>318</v>
      </c>
      <c r="C305" s="14" t="s">
        <v>1686</v>
      </c>
      <c r="D305" s="14" t="s">
        <v>497</v>
      </c>
      <c r="E305" s="14" t="s">
        <v>1681</v>
      </c>
      <c r="F305" s="14" t="s">
        <v>683</v>
      </c>
      <c r="G305" s="14" t="s">
        <v>684</v>
      </c>
      <c r="H305" s="14" t="s">
        <v>565</v>
      </c>
      <c r="I305" s="14">
        <v>4</v>
      </c>
      <c r="J305" s="14">
        <v>3</v>
      </c>
      <c r="K305" s="14" t="s">
        <v>1785</v>
      </c>
      <c r="L305" s="14" t="s">
        <v>1786</v>
      </c>
      <c r="M305" s="14" t="s">
        <v>1777</v>
      </c>
      <c r="N305" s="14">
        <v>0.88</v>
      </c>
    </row>
    <row r="306" spans="1:14" ht="45" customHeight="1">
      <c r="A306" s="13" t="s">
        <v>2091</v>
      </c>
      <c r="B306" s="13" t="s">
        <v>318</v>
      </c>
      <c r="C306" s="13" t="s">
        <v>1686</v>
      </c>
      <c r="D306" s="13" t="s">
        <v>497</v>
      </c>
      <c r="E306" s="13" t="s">
        <v>1681</v>
      </c>
      <c r="F306" s="13" t="s">
        <v>690</v>
      </c>
      <c r="G306" s="13" t="s">
        <v>691</v>
      </c>
      <c r="H306" s="13" t="s">
        <v>565</v>
      </c>
      <c r="I306" s="13">
        <v>4</v>
      </c>
      <c r="J306" s="13">
        <v>3</v>
      </c>
      <c r="K306" s="13" t="s">
        <v>1785</v>
      </c>
      <c r="L306" s="13" t="s">
        <v>1786</v>
      </c>
      <c r="M306" s="13" t="s">
        <v>1777</v>
      </c>
      <c r="N306" s="13">
        <v>0.83</v>
      </c>
    </row>
    <row r="307" spans="1:14" ht="45" customHeight="1">
      <c r="A307" s="14" t="s">
        <v>2092</v>
      </c>
      <c r="B307" s="14" t="s">
        <v>318</v>
      </c>
      <c r="C307" s="14" t="s">
        <v>1686</v>
      </c>
      <c r="D307" s="14" t="s">
        <v>497</v>
      </c>
      <c r="E307" s="14" t="s">
        <v>1681</v>
      </c>
      <c r="F307" s="14" t="s">
        <v>697</v>
      </c>
      <c r="G307" s="14" t="s">
        <v>698</v>
      </c>
      <c r="H307" s="14" t="s">
        <v>565</v>
      </c>
      <c r="I307" s="14">
        <v>4</v>
      </c>
      <c r="J307" s="14">
        <v>3</v>
      </c>
      <c r="K307" s="14" t="s">
        <v>1785</v>
      </c>
      <c r="L307" s="14" t="s">
        <v>1786</v>
      </c>
      <c r="M307" s="14" t="s">
        <v>1777</v>
      </c>
      <c r="N307" s="14">
        <v>0.69</v>
      </c>
    </row>
    <row r="308" spans="1:14" ht="45" customHeight="1">
      <c r="A308" s="13" t="s">
        <v>2093</v>
      </c>
      <c r="B308" s="13" t="s">
        <v>318</v>
      </c>
      <c r="C308" s="13" t="s">
        <v>1686</v>
      </c>
      <c r="D308" s="13" t="s">
        <v>497</v>
      </c>
      <c r="E308" s="13" t="s">
        <v>1681</v>
      </c>
      <c r="F308" s="13" t="s">
        <v>704</v>
      </c>
      <c r="G308" s="13" t="s">
        <v>705</v>
      </c>
      <c r="H308" s="13" t="s">
        <v>565</v>
      </c>
      <c r="I308" s="13">
        <v>4</v>
      </c>
      <c r="J308" s="13">
        <v>4</v>
      </c>
      <c r="K308" s="13" t="s">
        <v>1785</v>
      </c>
      <c r="L308" s="13" t="s">
        <v>1786</v>
      </c>
      <c r="M308" s="13" t="s">
        <v>1777</v>
      </c>
      <c r="N308" s="13">
        <v>0.77</v>
      </c>
    </row>
    <row r="309" spans="1:14" ht="45" customHeight="1">
      <c r="A309" s="14" t="s">
        <v>2094</v>
      </c>
      <c r="B309" s="14" t="s">
        <v>318</v>
      </c>
      <c r="C309" s="14" t="s">
        <v>1686</v>
      </c>
      <c r="D309" s="14" t="s">
        <v>497</v>
      </c>
      <c r="E309" s="14" t="s">
        <v>1681</v>
      </c>
      <c r="F309" s="14" t="s">
        <v>711</v>
      </c>
      <c r="G309" s="14" t="s">
        <v>712</v>
      </c>
      <c r="H309" s="14" t="s">
        <v>565</v>
      </c>
      <c r="I309" s="14">
        <v>4</v>
      </c>
      <c r="J309" s="14">
        <v>4</v>
      </c>
      <c r="K309" s="14" t="s">
        <v>1785</v>
      </c>
      <c r="L309" s="14" t="s">
        <v>1786</v>
      </c>
      <c r="M309" s="14" t="s">
        <v>1777</v>
      </c>
      <c r="N309" s="14">
        <v>0.83</v>
      </c>
    </row>
    <row r="310" spans="1:14" ht="45" customHeight="1">
      <c r="A310" s="13" t="s">
        <v>2095</v>
      </c>
      <c r="B310" s="13" t="s">
        <v>318</v>
      </c>
      <c r="C310" s="13" t="s">
        <v>1686</v>
      </c>
      <c r="D310" s="13" t="s">
        <v>497</v>
      </c>
      <c r="E310" s="13" t="s">
        <v>1681</v>
      </c>
      <c r="F310" s="13" t="s">
        <v>718</v>
      </c>
      <c r="G310" s="13" t="s">
        <v>719</v>
      </c>
      <c r="H310" s="13" t="s">
        <v>565</v>
      </c>
      <c r="I310" s="13">
        <v>4</v>
      </c>
      <c r="J310" s="13">
        <v>3</v>
      </c>
      <c r="K310" s="13" t="s">
        <v>1785</v>
      </c>
      <c r="L310" s="13" t="s">
        <v>1786</v>
      </c>
      <c r="M310" s="13" t="s">
        <v>1777</v>
      </c>
      <c r="N310" s="13">
        <v>0.69</v>
      </c>
    </row>
    <row r="311" spans="1:14" ht="45" customHeight="1">
      <c r="A311" s="14" t="s">
        <v>2096</v>
      </c>
      <c r="B311" s="14" t="s">
        <v>318</v>
      </c>
      <c r="C311" s="14" t="s">
        <v>1686</v>
      </c>
      <c r="D311" s="14" t="s">
        <v>497</v>
      </c>
      <c r="E311" s="14" t="s">
        <v>1681</v>
      </c>
      <c r="F311" s="14" t="s">
        <v>725</v>
      </c>
      <c r="G311" s="14" t="s">
        <v>726</v>
      </c>
      <c r="H311" s="14" t="s">
        <v>565</v>
      </c>
      <c r="I311" s="14">
        <v>4</v>
      </c>
      <c r="J311" s="14">
        <v>4</v>
      </c>
      <c r="K311" s="14" t="s">
        <v>1785</v>
      </c>
      <c r="L311" s="14" t="s">
        <v>1786</v>
      </c>
      <c r="M311" s="14" t="s">
        <v>1777</v>
      </c>
      <c r="N311" s="14">
        <v>0.84</v>
      </c>
    </row>
    <row r="312" spans="1:14" ht="45" customHeight="1">
      <c r="A312" s="13" t="s">
        <v>2097</v>
      </c>
      <c r="B312" s="13" t="s">
        <v>318</v>
      </c>
      <c r="C312" s="13" t="s">
        <v>1686</v>
      </c>
      <c r="D312" s="13" t="s">
        <v>497</v>
      </c>
      <c r="E312" s="13" t="s">
        <v>1681</v>
      </c>
      <c r="F312" s="13" t="s">
        <v>729</v>
      </c>
      <c r="G312" s="13" t="s">
        <v>629</v>
      </c>
      <c r="H312" s="13" t="s">
        <v>630</v>
      </c>
      <c r="I312" s="13">
        <v>4</v>
      </c>
      <c r="J312" s="13">
        <v>4</v>
      </c>
      <c r="K312" s="13" t="s">
        <v>1785</v>
      </c>
      <c r="L312" s="13" t="s">
        <v>1786</v>
      </c>
      <c r="M312" s="13" t="s">
        <v>1777</v>
      </c>
      <c r="N312" s="13">
        <v>0.77</v>
      </c>
    </row>
    <row r="313" spans="1:14" ht="45" customHeight="1">
      <c r="A313" s="14" t="s">
        <v>2098</v>
      </c>
      <c r="B313" s="14" t="s">
        <v>318</v>
      </c>
      <c r="C313" s="14" t="s">
        <v>1686</v>
      </c>
      <c r="D313" s="14" t="s">
        <v>497</v>
      </c>
      <c r="E313" s="14" t="s">
        <v>1681</v>
      </c>
      <c r="F313" s="14" t="s">
        <v>730</v>
      </c>
      <c r="G313" s="14" t="s">
        <v>731</v>
      </c>
      <c r="H313" s="14" t="s">
        <v>630</v>
      </c>
      <c r="I313" s="14">
        <v>4</v>
      </c>
      <c r="J313" s="14">
        <v>4</v>
      </c>
      <c r="K313" s="14" t="s">
        <v>1785</v>
      </c>
      <c r="L313" s="14" t="s">
        <v>1786</v>
      </c>
      <c r="M313" s="14" t="s">
        <v>1777</v>
      </c>
      <c r="N313" s="14">
        <v>0.82</v>
      </c>
    </row>
    <row r="314" spans="1:14" ht="45" customHeight="1">
      <c r="A314" s="13" t="s">
        <v>2099</v>
      </c>
      <c r="B314" s="13" t="s">
        <v>318</v>
      </c>
      <c r="C314" s="13" t="s">
        <v>1688</v>
      </c>
      <c r="D314" s="13" t="s">
        <v>497</v>
      </c>
      <c r="E314" s="13" t="s">
        <v>1681</v>
      </c>
      <c r="F314" s="13" t="s">
        <v>678</v>
      </c>
      <c r="G314" s="13" t="s">
        <v>564</v>
      </c>
      <c r="H314" s="13" t="s">
        <v>565</v>
      </c>
      <c r="I314" s="13">
        <v>4</v>
      </c>
      <c r="J314" s="13">
        <v>3</v>
      </c>
      <c r="K314" s="13" t="s">
        <v>1785</v>
      </c>
      <c r="L314" s="13" t="s">
        <v>1786</v>
      </c>
      <c r="M314" s="13" t="s">
        <v>1778</v>
      </c>
      <c r="N314" s="13">
        <v>0.69</v>
      </c>
    </row>
    <row r="315" spans="1:14" ht="45" customHeight="1">
      <c r="A315" s="14" t="s">
        <v>2100</v>
      </c>
      <c r="B315" s="14" t="s">
        <v>318</v>
      </c>
      <c r="C315" s="14" t="s">
        <v>1688</v>
      </c>
      <c r="D315" s="14" t="s">
        <v>497</v>
      </c>
      <c r="E315" s="14" t="s">
        <v>1681</v>
      </c>
      <c r="F315" s="14" t="s">
        <v>683</v>
      </c>
      <c r="G315" s="14" t="s">
        <v>684</v>
      </c>
      <c r="H315" s="14" t="s">
        <v>565</v>
      </c>
      <c r="I315" s="14">
        <v>4</v>
      </c>
      <c r="J315" s="14">
        <v>4</v>
      </c>
      <c r="K315" s="14" t="s">
        <v>1785</v>
      </c>
      <c r="L315" s="14" t="s">
        <v>1786</v>
      </c>
      <c r="M315" s="14" t="s">
        <v>1778</v>
      </c>
      <c r="N315" s="14">
        <v>0.88</v>
      </c>
    </row>
    <row r="316" spans="1:14" ht="45" customHeight="1">
      <c r="A316" s="13" t="s">
        <v>2101</v>
      </c>
      <c r="B316" s="13" t="s">
        <v>318</v>
      </c>
      <c r="C316" s="13" t="s">
        <v>1688</v>
      </c>
      <c r="D316" s="13" t="s">
        <v>497</v>
      </c>
      <c r="E316" s="13" t="s">
        <v>1681</v>
      </c>
      <c r="F316" s="13" t="s">
        <v>690</v>
      </c>
      <c r="G316" s="13" t="s">
        <v>691</v>
      </c>
      <c r="H316" s="13" t="s">
        <v>565</v>
      </c>
      <c r="I316" s="13">
        <v>4</v>
      </c>
      <c r="J316" s="13">
        <v>3</v>
      </c>
      <c r="K316" s="13" t="s">
        <v>1785</v>
      </c>
      <c r="L316" s="13" t="s">
        <v>1786</v>
      </c>
      <c r="M316" s="13" t="s">
        <v>1778</v>
      </c>
      <c r="N316" s="13">
        <v>0.79</v>
      </c>
    </row>
    <row r="317" spans="1:14" ht="45" customHeight="1">
      <c r="A317" s="14" t="s">
        <v>2102</v>
      </c>
      <c r="B317" s="14" t="s">
        <v>318</v>
      </c>
      <c r="C317" s="14" t="s">
        <v>1688</v>
      </c>
      <c r="D317" s="14" t="s">
        <v>497</v>
      </c>
      <c r="E317" s="14" t="s">
        <v>1681</v>
      </c>
      <c r="F317" s="14" t="s">
        <v>697</v>
      </c>
      <c r="G317" s="14" t="s">
        <v>698</v>
      </c>
      <c r="H317" s="14" t="s">
        <v>565</v>
      </c>
      <c r="I317" s="14">
        <v>4</v>
      </c>
      <c r="J317" s="14">
        <v>4</v>
      </c>
      <c r="K317" s="14" t="s">
        <v>1785</v>
      </c>
      <c r="L317" s="14" t="s">
        <v>1788</v>
      </c>
      <c r="M317" s="14" t="s">
        <v>1778</v>
      </c>
      <c r="N317" s="14">
        <v>0.83</v>
      </c>
    </row>
    <row r="318" spans="1:14" ht="45" customHeight="1">
      <c r="A318" s="13" t="s">
        <v>2103</v>
      </c>
      <c r="B318" s="13" t="s">
        <v>318</v>
      </c>
      <c r="C318" s="13" t="s">
        <v>1688</v>
      </c>
      <c r="D318" s="13" t="s">
        <v>497</v>
      </c>
      <c r="E318" s="13" t="s">
        <v>1681</v>
      </c>
      <c r="F318" s="13" t="s">
        <v>704</v>
      </c>
      <c r="G318" s="13" t="s">
        <v>705</v>
      </c>
      <c r="H318" s="13" t="s">
        <v>565</v>
      </c>
      <c r="I318" s="13">
        <v>4</v>
      </c>
      <c r="J318" s="13">
        <v>3</v>
      </c>
      <c r="K318" s="13" t="s">
        <v>1785</v>
      </c>
      <c r="L318" s="13" t="s">
        <v>1786</v>
      </c>
      <c r="M318" s="13" t="s">
        <v>1778</v>
      </c>
      <c r="N318" s="13">
        <v>0.69</v>
      </c>
    </row>
    <row r="319" spans="1:14" ht="45" customHeight="1">
      <c r="A319" s="14" t="s">
        <v>2104</v>
      </c>
      <c r="B319" s="14" t="s">
        <v>318</v>
      </c>
      <c r="C319" s="14" t="s">
        <v>1688</v>
      </c>
      <c r="D319" s="14" t="s">
        <v>497</v>
      </c>
      <c r="E319" s="14" t="s">
        <v>1681</v>
      </c>
      <c r="F319" s="14" t="s">
        <v>711</v>
      </c>
      <c r="G319" s="14" t="s">
        <v>712</v>
      </c>
      <c r="H319" s="14" t="s">
        <v>565</v>
      </c>
      <c r="I319" s="14">
        <v>4</v>
      </c>
      <c r="J319" s="14">
        <v>4</v>
      </c>
      <c r="K319" s="14" t="s">
        <v>1785</v>
      </c>
      <c r="L319" s="14" t="s">
        <v>1786</v>
      </c>
      <c r="M319" s="14" t="s">
        <v>1778</v>
      </c>
      <c r="N319" s="14">
        <v>0.83</v>
      </c>
    </row>
    <row r="320" spans="1:14" ht="45" customHeight="1">
      <c r="A320" s="13" t="s">
        <v>2105</v>
      </c>
      <c r="B320" s="13" t="s">
        <v>318</v>
      </c>
      <c r="C320" s="13" t="s">
        <v>1688</v>
      </c>
      <c r="D320" s="13" t="s">
        <v>497</v>
      </c>
      <c r="E320" s="13" t="s">
        <v>1681</v>
      </c>
      <c r="F320" s="13" t="s">
        <v>718</v>
      </c>
      <c r="G320" s="13" t="s">
        <v>719</v>
      </c>
      <c r="H320" s="13" t="s">
        <v>565</v>
      </c>
      <c r="I320" s="13">
        <v>4</v>
      </c>
      <c r="J320" s="13">
        <v>4</v>
      </c>
      <c r="K320" s="13" t="s">
        <v>1785</v>
      </c>
      <c r="L320" s="13" t="s">
        <v>1786</v>
      </c>
      <c r="M320" s="13" t="s">
        <v>1778</v>
      </c>
      <c r="N320" s="13">
        <v>0.71</v>
      </c>
    </row>
    <row r="321" spans="1:14" ht="45" customHeight="1">
      <c r="A321" s="14" t="s">
        <v>2106</v>
      </c>
      <c r="B321" s="14" t="s">
        <v>318</v>
      </c>
      <c r="C321" s="14" t="s">
        <v>1688</v>
      </c>
      <c r="D321" s="14" t="s">
        <v>497</v>
      </c>
      <c r="E321" s="14" t="s">
        <v>1681</v>
      </c>
      <c r="F321" s="14" t="s">
        <v>725</v>
      </c>
      <c r="G321" s="14" t="s">
        <v>726</v>
      </c>
      <c r="H321" s="14" t="s">
        <v>565</v>
      </c>
      <c r="I321" s="14">
        <v>4</v>
      </c>
      <c r="J321" s="14">
        <v>3</v>
      </c>
      <c r="K321" s="14" t="s">
        <v>1785</v>
      </c>
      <c r="L321" s="14" t="s">
        <v>1786</v>
      </c>
      <c r="M321" s="14" t="s">
        <v>1778</v>
      </c>
      <c r="N321" s="14">
        <v>0.8</v>
      </c>
    </row>
    <row r="322" spans="1:14" ht="45" customHeight="1">
      <c r="A322" s="13" t="s">
        <v>2107</v>
      </c>
      <c r="B322" s="13" t="s">
        <v>318</v>
      </c>
      <c r="C322" s="13" t="s">
        <v>1688</v>
      </c>
      <c r="D322" s="13" t="s">
        <v>497</v>
      </c>
      <c r="E322" s="13" t="s">
        <v>1681</v>
      </c>
      <c r="F322" s="13" t="s">
        <v>729</v>
      </c>
      <c r="G322" s="13" t="s">
        <v>629</v>
      </c>
      <c r="H322" s="13" t="s">
        <v>630</v>
      </c>
      <c r="I322" s="13">
        <v>4</v>
      </c>
      <c r="J322" s="13">
        <v>3</v>
      </c>
      <c r="K322" s="13" t="s">
        <v>1785</v>
      </c>
      <c r="L322" s="13" t="s">
        <v>1786</v>
      </c>
      <c r="M322" s="13" t="s">
        <v>1778</v>
      </c>
      <c r="N322" s="13">
        <v>0.74</v>
      </c>
    </row>
    <row r="323" spans="1:14" ht="45" customHeight="1">
      <c r="A323" s="14" t="s">
        <v>2108</v>
      </c>
      <c r="B323" s="14" t="s">
        <v>318</v>
      </c>
      <c r="C323" s="14" t="s">
        <v>1688</v>
      </c>
      <c r="D323" s="14" t="s">
        <v>497</v>
      </c>
      <c r="E323" s="14" t="s">
        <v>1681</v>
      </c>
      <c r="F323" s="14" t="s">
        <v>730</v>
      </c>
      <c r="G323" s="14" t="s">
        <v>731</v>
      </c>
      <c r="H323" s="14" t="s">
        <v>630</v>
      </c>
      <c r="I323" s="14">
        <v>4</v>
      </c>
      <c r="J323" s="14">
        <v>4</v>
      </c>
      <c r="K323" s="14" t="s">
        <v>1785</v>
      </c>
      <c r="L323" s="14" t="s">
        <v>1786</v>
      </c>
      <c r="M323" s="14" t="s">
        <v>1778</v>
      </c>
      <c r="N323" s="14">
        <v>0.76</v>
      </c>
    </row>
    <row r="324" spans="1:14" ht="45" customHeight="1">
      <c r="A324" s="13" t="s">
        <v>2109</v>
      </c>
      <c r="B324" s="13" t="s">
        <v>318</v>
      </c>
      <c r="C324" s="13" t="s">
        <v>1690</v>
      </c>
      <c r="D324" s="13" t="s">
        <v>500</v>
      </c>
      <c r="E324" s="13" t="s">
        <v>1692</v>
      </c>
      <c r="F324" s="13" t="s">
        <v>678</v>
      </c>
      <c r="G324" s="13" t="s">
        <v>564</v>
      </c>
      <c r="H324" s="13" t="s">
        <v>565</v>
      </c>
      <c r="I324" s="13">
        <v>3</v>
      </c>
      <c r="J324" s="13">
        <v>3</v>
      </c>
      <c r="K324" s="13" t="s">
        <v>1785</v>
      </c>
      <c r="L324" s="13" t="s">
        <v>1788</v>
      </c>
      <c r="M324" s="13" t="s">
        <v>1779</v>
      </c>
      <c r="N324" s="13">
        <v>0.81</v>
      </c>
    </row>
    <row r="325" spans="1:14" ht="45" customHeight="1">
      <c r="A325" s="14" t="s">
        <v>2110</v>
      </c>
      <c r="B325" s="14" t="s">
        <v>318</v>
      </c>
      <c r="C325" s="14" t="s">
        <v>1690</v>
      </c>
      <c r="D325" s="14" t="s">
        <v>500</v>
      </c>
      <c r="E325" s="14" t="s">
        <v>1692</v>
      </c>
      <c r="F325" s="14" t="s">
        <v>683</v>
      </c>
      <c r="G325" s="14" t="s">
        <v>684</v>
      </c>
      <c r="H325" s="14" t="s">
        <v>565</v>
      </c>
      <c r="I325" s="14">
        <v>3</v>
      </c>
      <c r="J325" s="14">
        <v>3</v>
      </c>
      <c r="K325" s="14" t="s">
        <v>1785</v>
      </c>
      <c r="L325" s="14" t="s">
        <v>1786</v>
      </c>
      <c r="M325" s="14" t="s">
        <v>1779</v>
      </c>
      <c r="N325" s="14">
        <v>0.77</v>
      </c>
    </row>
    <row r="326" spans="1:14" ht="45" customHeight="1">
      <c r="A326" s="13" t="s">
        <v>2111</v>
      </c>
      <c r="B326" s="13" t="s">
        <v>318</v>
      </c>
      <c r="C326" s="13" t="s">
        <v>1690</v>
      </c>
      <c r="D326" s="13" t="s">
        <v>500</v>
      </c>
      <c r="E326" s="13" t="s">
        <v>1692</v>
      </c>
      <c r="F326" s="13" t="s">
        <v>690</v>
      </c>
      <c r="G326" s="13" t="s">
        <v>691</v>
      </c>
      <c r="H326" s="13" t="s">
        <v>565</v>
      </c>
      <c r="I326" s="13">
        <v>3</v>
      </c>
      <c r="J326" s="13">
        <v>3</v>
      </c>
      <c r="K326" s="13" t="s">
        <v>1785</v>
      </c>
      <c r="L326" s="13" t="s">
        <v>1788</v>
      </c>
      <c r="M326" s="13" t="s">
        <v>1779</v>
      </c>
      <c r="N326" s="13">
        <v>0.73</v>
      </c>
    </row>
    <row r="327" spans="1:14" ht="45" customHeight="1">
      <c r="A327" s="14" t="s">
        <v>2112</v>
      </c>
      <c r="B327" s="14" t="s">
        <v>318</v>
      </c>
      <c r="C327" s="14" t="s">
        <v>1690</v>
      </c>
      <c r="D327" s="14" t="s">
        <v>500</v>
      </c>
      <c r="E327" s="14" t="s">
        <v>1692</v>
      </c>
      <c r="F327" s="14" t="s">
        <v>697</v>
      </c>
      <c r="G327" s="14" t="s">
        <v>698</v>
      </c>
      <c r="H327" s="14" t="s">
        <v>565</v>
      </c>
      <c r="I327" s="14">
        <v>3</v>
      </c>
      <c r="J327" s="14">
        <v>3</v>
      </c>
      <c r="K327" s="14" t="s">
        <v>1785</v>
      </c>
      <c r="L327" s="14" t="s">
        <v>1786</v>
      </c>
      <c r="M327" s="14" t="s">
        <v>1779</v>
      </c>
      <c r="N327" s="14">
        <v>0.73</v>
      </c>
    </row>
    <row r="328" spans="1:14" ht="45" customHeight="1">
      <c r="A328" s="13" t="s">
        <v>2113</v>
      </c>
      <c r="B328" s="13" t="s">
        <v>318</v>
      </c>
      <c r="C328" s="13" t="s">
        <v>1690</v>
      </c>
      <c r="D328" s="13" t="s">
        <v>500</v>
      </c>
      <c r="E328" s="13" t="s">
        <v>1692</v>
      </c>
      <c r="F328" s="13" t="s">
        <v>704</v>
      </c>
      <c r="G328" s="13" t="s">
        <v>705</v>
      </c>
      <c r="H328" s="13" t="s">
        <v>565</v>
      </c>
      <c r="I328" s="13">
        <v>3</v>
      </c>
      <c r="J328" s="13">
        <v>3</v>
      </c>
      <c r="K328" s="13" t="s">
        <v>1785</v>
      </c>
      <c r="L328" s="13" t="s">
        <v>1786</v>
      </c>
      <c r="M328" s="13" t="s">
        <v>1779</v>
      </c>
      <c r="N328" s="13">
        <v>0.83</v>
      </c>
    </row>
    <row r="329" spans="1:14" ht="45" customHeight="1">
      <c r="A329" s="14" t="s">
        <v>2114</v>
      </c>
      <c r="B329" s="14" t="s">
        <v>318</v>
      </c>
      <c r="C329" s="14" t="s">
        <v>1690</v>
      </c>
      <c r="D329" s="14" t="s">
        <v>500</v>
      </c>
      <c r="E329" s="14" t="s">
        <v>1692</v>
      </c>
      <c r="F329" s="14" t="s">
        <v>711</v>
      </c>
      <c r="G329" s="14" t="s">
        <v>712</v>
      </c>
      <c r="H329" s="14" t="s">
        <v>565</v>
      </c>
      <c r="I329" s="14">
        <v>3</v>
      </c>
      <c r="J329" s="14">
        <v>3</v>
      </c>
      <c r="K329" s="14" t="s">
        <v>1785</v>
      </c>
      <c r="L329" s="14" t="s">
        <v>1786</v>
      </c>
      <c r="M329" s="14" t="s">
        <v>1779</v>
      </c>
      <c r="N329" s="14">
        <v>0.76</v>
      </c>
    </row>
    <row r="330" spans="1:14" ht="45" customHeight="1">
      <c r="A330" s="13" t="s">
        <v>2115</v>
      </c>
      <c r="B330" s="13" t="s">
        <v>318</v>
      </c>
      <c r="C330" s="13" t="s">
        <v>1690</v>
      </c>
      <c r="D330" s="13" t="s">
        <v>500</v>
      </c>
      <c r="E330" s="13" t="s">
        <v>1692</v>
      </c>
      <c r="F330" s="13" t="s">
        <v>718</v>
      </c>
      <c r="G330" s="13" t="s">
        <v>719</v>
      </c>
      <c r="H330" s="13" t="s">
        <v>565</v>
      </c>
      <c r="I330" s="13">
        <v>3</v>
      </c>
      <c r="J330" s="13">
        <v>2</v>
      </c>
      <c r="K330" s="13" t="s">
        <v>1785</v>
      </c>
      <c r="L330" s="13" t="s">
        <v>1788</v>
      </c>
      <c r="M330" s="13" t="s">
        <v>1779</v>
      </c>
      <c r="N330" s="13">
        <v>0.79</v>
      </c>
    </row>
    <row r="331" spans="1:14" ht="45" customHeight="1">
      <c r="A331" s="14" t="s">
        <v>2116</v>
      </c>
      <c r="B331" s="14" t="s">
        <v>318</v>
      </c>
      <c r="C331" s="14" t="s">
        <v>1690</v>
      </c>
      <c r="D331" s="14" t="s">
        <v>500</v>
      </c>
      <c r="E331" s="14" t="s">
        <v>1692</v>
      </c>
      <c r="F331" s="14" t="s">
        <v>725</v>
      </c>
      <c r="G331" s="14" t="s">
        <v>726</v>
      </c>
      <c r="H331" s="14" t="s">
        <v>565</v>
      </c>
      <c r="I331" s="14">
        <v>3</v>
      </c>
      <c r="J331" s="14">
        <v>3</v>
      </c>
      <c r="K331" s="14" t="s">
        <v>1785</v>
      </c>
      <c r="L331" s="14" t="s">
        <v>1786</v>
      </c>
      <c r="M331" s="14" t="s">
        <v>1779</v>
      </c>
      <c r="N331" s="14">
        <v>0.7</v>
      </c>
    </row>
    <row r="332" spans="1:14" ht="45" customHeight="1">
      <c r="A332" s="13" t="s">
        <v>2117</v>
      </c>
      <c r="B332" s="13" t="s">
        <v>318</v>
      </c>
      <c r="C332" s="13" t="s">
        <v>1690</v>
      </c>
      <c r="D332" s="13" t="s">
        <v>500</v>
      </c>
      <c r="E332" s="13" t="s">
        <v>1692</v>
      </c>
      <c r="F332" s="13" t="s">
        <v>735</v>
      </c>
      <c r="G332" s="13" t="s">
        <v>736</v>
      </c>
      <c r="H332" s="13" t="s">
        <v>737</v>
      </c>
      <c r="I332" s="13">
        <v>3</v>
      </c>
      <c r="J332" s="13">
        <v>2</v>
      </c>
      <c r="K332" s="13" t="s">
        <v>1785</v>
      </c>
      <c r="L332" s="13" t="s">
        <v>1786</v>
      </c>
      <c r="M332" s="13" t="s">
        <v>1779</v>
      </c>
      <c r="N332" s="13">
        <v>0.75</v>
      </c>
    </row>
    <row r="333" spans="1:14" ht="45" customHeight="1">
      <c r="A333" s="14" t="s">
        <v>2118</v>
      </c>
      <c r="B333" s="14" t="s">
        <v>318</v>
      </c>
      <c r="C333" s="14" t="s">
        <v>1690</v>
      </c>
      <c r="D333" s="14" t="s">
        <v>500</v>
      </c>
      <c r="E333" s="14" t="s">
        <v>1692</v>
      </c>
      <c r="F333" s="14" t="s">
        <v>743</v>
      </c>
      <c r="G333" s="14" t="s">
        <v>744</v>
      </c>
      <c r="H333" s="14" t="s">
        <v>737</v>
      </c>
      <c r="I333" s="14">
        <v>3</v>
      </c>
      <c r="J333" s="14">
        <v>2</v>
      </c>
      <c r="K333" s="14" t="s">
        <v>1785</v>
      </c>
      <c r="L333" s="14" t="s">
        <v>1786</v>
      </c>
      <c r="M333" s="14" t="s">
        <v>1779</v>
      </c>
      <c r="N333" s="14">
        <v>0.8</v>
      </c>
    </row>
    <row r="334" spans="1:14" ht="45" customHeight="1">
      <c r="A334" s="13" t="s">
        <v>2119</v>
      </c>
      <c r="B334" s="13" t="s">
        <v>318</v>
      </c>
      <c r="C334" s="13" t="s">
        <v>1695</v>
      </c>
      <c r="D334" s="13" t="s">
        <v>500</v>
      </c>
      <c r="E334" s="13" t="s">
        <v>1692</v>
      </c>
      <c r="F334" s="13" t="s">
        <v>678</v>
      </c>
      <c r="G334" s="13" t="s">
        <v>564</v>
      </c>
      <c r="H334" s="13" t="s">
        <v>565</v>
      </c>
      <c r="I334" s="13">
        <v>3</v>
      </c>
      <c r="J334" s="13">
        <v>1</v>
      </c>
      <c r="K334" s="13" t="s">
        <v>1785</v>
      </c>
      <c r="L334" s="13" t="s">
        <v>1786</v>
      </c>
      <c r="M334" s="13" t="s">
        <v>1780</v>
      </c>
      <c r="N334" s="13">
        <v>0.85</v>
      </c>
    </row>
    <row r="335" spans="1:14" ht="45" customHeight="1">
      <c r="A335" s="14" t="s">
        <v>2120</v>
      </c>
      <c r="B335" s="14" t="s">
        <v>318</v>
      </c>
      <c r="C335" s="14" t="s">
        <v>1695</v>
      </c>
      <c r="D335" s="14" t="s">
        <v>500</v>
      </c>
      <c r="E335" s="14" t="s">
        <v>1692</v>
      </c>
      <c r="F335" s="14" t="s">
        <v>683</v>
      </c>
      <c r="G335" s="14" t="s">
        <v>684</v>
      </c>
      <c r="H335" s="14" t="s">
        <v>565</v>
      </c>
      <c r="I335" s="14">
        <v>3</v>
      </c>
      <c r="J335" s="14">
        <v>3</v>
      </c>
      <c r="K335" s="14" t="s">
        <v>1785</v>
      </c>
      <c r="L335" s="14" t="s">
        <v>1788</v>
      </c>
      <c r="M335" s="14" t="s">
        <v>1780</v>
      </c>
      <c r="N335" s="14">
        <v>0.7</v>
      </c>
    </row>
    <row r="336" spans="1:14" ht="45" customHeight="1">
      <c r="A336" s="13" t="s">
        <v>2121</v>
      </c>
      <c r="B336" s="13" t="s">
        <v>318</v>
      </c>
      <c r="C336" s="13" t="s">
        <v>1695</v>
      </c>
      <c r="D336" s="13" t="s">
        <v>500</v>
      </c>
      <c r="E336" s="13" t="s">
        <v>1692</v>
      </c>
      <c r="F336" s="13" t="s">
        <v>690</v>
      </c>
      <c r="G336" s="13" t="s">
        <v>691</v>
      </c>
      <c r="H336" s="13" t="s">
        <v>565</v>
      </c>
      <c r="I336" s="13">
        <v>3</v>
      </c>
      <c r="J336" s="13">
        <v>2</v>
      </c>
      <c r="K336" s="13" t="s">
        <v>1785</v>
      </c>
      <c r="L336" s="13" t="s">
        <v>1788</v>
      </c>
      <c r="M336" s="13" t="s">
        <v>1780</v>
      </c>
      <c r="N336" s="13">
        <v>0.85</v>
      </c>
    </row>
    <row r="337" spans="1:14" ht="45" customHeight="1">
      <c r="A337" s="14" t="s">
        <v>2122</v>
      </c>
      <c r="B337" s="14" t="s">
        <v>318</v>
      </c>
      <c r="C337" s="14" t="s">
        <v>1695</v>
      </c>
      <c r="D337" s="14" t="s">
        <v>500</v>
      </c>
      <c r="E337" s="14" t="s">
        <v>1692</v>
      </c>
      <c r="F337" s="14" t="s">
        <v>697</v>
      </c>
      <c r="G337" s="14" t="s">
        <v>698</v>
      </c>
      <c r="H337" s="14" t="s">
        <v>565</v>
      </c>
      <c r="I337" s="14">
        <v>3</v>
      </c>
      <c r="J337" s="14">
        <v>2</v>
      </c>
      <c r="K337" s="14" t="s">
        <v>1785</v>
      </c>
      <c r="L337" s="14" t="s">
        <v>1786</v>
      </c>
      <c r="M337" s="14" t="s">
        <v>1780</v>
      </c>
      <c r="N337" s="14">
        <v>0.82</v>
      </c>
    </row>
    <row r="338" spans="1:14" ht="45" customHeight="1">
      <c r="A338" s="13" t="s">
        <v>2123</v>
      </c>
      <c r="B338" s="13" t="s">
        <v>318</v>
      </c>
      <c r="C338" s="13" t="s">
        <v>1695</v>
      </c>
      <c r="D338" s="13" t="s">
        <v>500</v>
      </c>
      <c r="E338" s="13" t="s">
        <v>1692</v>
      </c>
      <c r="F338" s="13" t="s">
        <v>704</v>
      </c>
      <c r="G338" s="13" t="s">
        <v>705</v>
      </c>
      <c r="H338" s="13" t="s">
        <v>565</v>
      </c>
      <c r="I338" s="13">
        <v>3</v>
      </c>
      <c r="J338" s="13">
        <v>2</v>
      </c>
      <c r="K338" s="13" t="s">
        <v>1785</v>
      </c>
      <c r="L338" s="13" t="s">
        <v>1786</v>
      </c>
      <c r="M338" s="13" t="s">
        <v>1780</v>
      </c>
      <c r="N338" s="13">
        <v>0.78</v>
      </c>
    </row>
    <row r="339" spans="1:14" ht="45" customHeight="1">
      <c r="A339" s="14" t="s">
        <v>2124</v>
      </c>
      <c r="B339" s="14" t="s">
        <v>318</v>
      </c>
      <c r="C339" s="14" t="s">
        <v>1695</v>
      </c>
      <c r="D339" s="14" t="s">
        <v>500</v>
      </c>
      <c r="E339" s="14" t="s">
        <v>1692</v>
      </c>
      <c r="F339" s="14" t="s">
        <v>711</v>
      </c>
      <c r="G339" s="14" t="s">
        <v>712</v>
      </c>
      <c r="H339" s="14" t="s">
        <v>565</v>
      </c>
      <c r="I339" s="14">
        <v>3</v>
      </c>
      <c r="J339" s="14">
        <v>2</v>
      </c>
      <c r="K339" s="14" t="s">
        <v>1785</v>
      </c>
      <c r="L339" s="14" t="s">
        <v>1786</v>
      </c>
      <c r="M339" s="14" t="s">
        <v>1780</v>
      </c>
      <c r="N339" s="14">
        <v>0.77</v>
      </c>
    </row>
    <row r="340" spans="1:14" ht="45" customHeight="1">
      <c r="A340" s="13" t="s">
        <v>2125</v>
      </c>
      <c r="B340" s="13" t="s">
        <v>318</v>
      </c>
      <c r="C340" s="13" t="s">
        <v>1695</v>
      </c>
      <c r="D340" s="13" t="s">
        <v>500</v>
      </c>
      <c r="E340" s="13" t="s">
        <v>1692</v>
      </c>
      <c r="F340" s="13" t="s">
        <v>718</v>
      </c>
      <c r="G340" s="13" t="s">
        <v>719</v>
      </c>
      <c r="H340" s="13" t="s">
        <v>565</v>
      </c>
      <c r="I340" s="13">
        <v>3</v>
      </c>
      <c r="J340" s="13">
        <v>1</v>
      </c>
      <c r="K340" s="13" t="s">
        <v>1785</v>
      </c>
      <c r="L340" s="13" t="s">
        <v>1786</v>
      </c>
      <c r="M340" s="13" t="s">
        <v>1780</v>
      </c>
      <c r="N340" s="13">
        <v>0.75</v>
      </c>
    </row>
    <row r="341" spans="1:14" ht="45" customHeight="1">
      <c r="A341" s="14" t="s">
        <v>2126</v>
      </c>
      <c r="B341" s="14" t="s">
        <v>318</v>
      </c>
      <c r="C341" s="14" t="s">
        <v>1695</v>
      </c>
      <c r="D341" s="14" t="s">
        <v>500</v>
      </c>
      <c r="E341" s="14" t="s">
        <v>1692</v>
      </c>
      <c r="F341" s="14" t="s">
        <v>725</v>
      </c>
      <c r="G341" s="14" t="s">
        <v>726</v>
      </c>
      <c r="H341" s="14" t="s">
        <v>565</v>
      </c>
      <c r="I341" s="14">
        <v>3</v>
      </c>
      <c r="J341" s="14">
        <v>3</v>
      </c>
      <c r="K341" s="14" t="s">
        <v>1785</v>
      </c>
      <c r="L341" s="14" t="s">
        <v>1786</v>
      </c>
      <c r="M341" s="14" t="s">
        <v>1780</v>
      </c>
      <c r="N341" s="14">
        <v>0.83</v>
      </c>
    </row>
    <row r="342" spans="1:14" ht="45" customHeight="1">
      <c r="A342" s="13" t="s">
        <v>2127</v>
      </c>
      <c r="B342" s="13" t="s">
        <v>318</v>
      </c>
      <c r="C342" s="13" t="s">
        <v>1695</v>
      </c>
      <c r="D342" s="13" t="s">
        <v>500</v>
      </c>
      <c r="E342" s="13" t="s">
        <v>1692</v>
      </c>
      <c r="F342" s="13" t="s">
        <v>735</v>
      </c>
      <c r="G342" s="13" t="s">
        <v>736</v>
      </c>
      <c r="H342" s="13" t="s">
        <v>737</v>
      </c>
      <c r="I342" s="13">
        <v>3</v>
      </c>
      <c r="J342" s="13">
        <v>2</v>
      </c>
      <c r="K342" s="13" t="s">
        <v>1785</v>
      </c>
      <c r="L342" s="13" t="s">
        <v>1786</v>
      </c>
      <c r="M342" s="13" t="s">
        <v>1780</v>
      </c>
      <c r="N342" s="13">
        <v>0.85</v>
      </c>
    </row>
    <row r="343" spans="1:14" ht="45" customHeight="1">
      <c r="A343" s="14" t="s">
        <v>2128</v>
      </c>
      <c r="B343" s="14" t="s">
        <v>318</v>
      </c>
      <c r="C343" s="14" t="s">
        <v>1695</v>
      </c>
      <c r="D343" s="14" t="s">
        <v>500</v>
      </c>
      <c r="E343" s="14" t="s">
        <v>1692</v>
      </c>
      <c r="F343" s="14" t="s">
        <v>743</v>
      </c>
      <c r="G343" s="14" t="s">
        <v>744</v>
      </c>
      <c r="H343" s="14" t="s">
        <v>737</v>
      </c>
      <c r="I343" s="14">
        <v>3</v>
      </c>
      <c r="J343" s="14">
        <v>3</v>
      </c>
      <c r="K343" s="14" t="s">
        <v>1785</v>
      </c>
      <c r="L343" s="14" t="s">
        <v>1788</v>
      </c>
      <c r="M343" s="14" t="s">
        <v>1780</v>
      </c>
      <c r="N343" s="14">
        <v>0.83</v>
      </c>
    </row>
    <row r="344" spans="1:14" ht="45" customHeight="1">
      <c r="A344" s="13" t="s">
        <v>2129</v>
      </c>
      <c r="B344" s="13" t="s">
        <v>318</v>
      </c>
      <c r="C344" s="13" t="s">
        <v>1697</v>
      </c>
      <c r="D344" s="13" t="s">
        <v>500</v>
      </c>
      <c r="E344" s="13" t="s">
        <v>1692</v>
      </c>
      <c r="F344" s="13" t="s">
        <v>678</v>
      </c>
      <c r="G344" s="13" t="s">
        <v>564</v>
      </c>
      <c r="H344" s="13" t="s">
        <v>565</v>
      </c>
      <c r="I344" s="13">
        <v>3</v>
      </c>
      <c r="J344" s="13">
        <v>3</v>
      </c>
      <c r="K344" s="13" t="s">
        <v>1785</v>
      </c>
      <c r="L344" s="13" t="s">
        <v>1786</v>
      </c>
      <c r="M344" s="13" t="s">
        <v>1781</v>
      </c>
      <c r="N344" s="13">
        <v>0.9</v>
      </c>
    </row>
    <row r="345" spans="1:14" ht="45" customHeight="1">
      <c r="A345" s="14" t="s">
        <v>2130</v>
      </c>
      <c r="B345" s="14" t="s">
        <v>318</v>
      </c>
      <c r="C345" s="14" t="s">
        <v>1697</v>
      </c>
      <c r="D345" s="14" t="s">
        <v>500</v>
      </c>
      <c r="E345" s="14" t="s">
        <v>1692</v>
      </c>
      <c r="F345" s="14" t="s">
        <v>683</v>
      </c>
      <c r="G345" s="14" t="s">
        <v>684</v>
      </c>
      <c r="H345" s="14" t="s">
        <v>565</v>
      </c>
      <c r="I345" s="14">
        <v>3</v>
      </c>
      <c r="J345" s="14">
        <v>2</v>
      </c>
      <c r="K345" s="14" t="s">
        <v>1785</v>
      </c>
      <c r="L345" s="14" t="s">
        <v>1786</v>
      </c>
      <c r="M345" s="14" t="s">
        <v>1781</v>
      </c>
      <c r="N345" s="14">
        <v>0.81</v>
      </c>
    </row>
    <row r="346" spans="1:14" ht="45" customHeight="1">
      <c r="A346" s="13" t="s">
        <v>2131</v>
      </c>
      <c r="B346" s="13" t="s">
        <v>318</v>
      </c>
      <c r="C346" s="13" t="s">
        <v>1697</v>
      </c>
      <c r="D346" s="13" t="s">
        <v>500</v>
      </c>
      <c r="E346" s="13" t="s">
        <v>1692</v>
      </c>
      <c r="F346" s="13" t="s">
        <v>690</v>
      </c>
      <c r="G346" s="13" t="s">
        <v>691</v>
      </c>
      <c r="H346" s="13" t="s">
        <v>565</v>
      </c>
      <c r="I346" s="13">
        <v>3</v>
      </c>
      <c r="J346" s="13">
        <v>3</v>
      </c>
      <c r="K346" s="13" t="s">
        <v>1785</v>
      </c>
      <c r="L346" s="13" t="s">
        <v>1786</v>
      </c>
      <c r="M346" s="13" t="s">
        <v>1781</v>
      </c>
      <c r="N346" s="13">
        <v>0.77</v>
      </c>
    </row>
    <row r="347" spans="1:14" ht="45" customHeight="1">
      <c r="A347" s="14" t="s">
        <v>2132</v>
      </c>
      <c r="B347" s="14" t="s">
        <v>318</v>
      </c>
      <c r="C347" s="14" t="s">
        <v>1697</v>
      </c>
      <c r="D347" s="14" t="s">
        <v>500</v>
      </c>
      <c r="E347" s="14" t="s">
        <v>1692</v>
      </c>
      <c r="F347" s="14" t="s">
        <v>697</v>
      </c>
      <c r="G347" s="14" t="s">
        <v>698</v>
      </c>
      <c r="H347" s="14" t="s">
        <v>565</v>
      </c>
      <c r="I347" s="14">
        <v>3</v>
      </c>
      <c r="J347" s="14">
        <v>3</v>
      </c>
      <c r="K347" s="14" t="s">
        <v>1785</v>
      </c>
      <c r="L347" s="14" t="s">
        <v>1788</v>
      </c>
      <c r="M347" s="14" t="s">
        <v>1781</v>
      </c>
      <c r="N347" s="14">
        <v>0.7</v>
      </c>
    </row>
    <row r="348" spans="1:14" ht="45" customHeight="1">
      <c r="A348" s="13" t="s">
        <v>2133</v>
      </c>
      <c r="B348" s="13" t="s">
        <v>318</v>
      </c>
      <c r="C348" s="13" t="s">
        <v>1697</v>
      </c>
      <c r="D348" s="13" t="s">
        <v>500</v>
      </c>
      <c r="E348" s="13" t="s">
        <v>1692</v>
      </c>
      <c r="F348" s="13" t="s">
        <v>704</v>
      </c>
      <c r="G348" s="13" t="s">
        <v>705</v>
      </c>
      <c r="H348" s="13" t="s">
        <v>565</v>
      </c>
      <c r="I348" s="13">
        <v>3</v>
      </c>
      <c r="J348" s="13">
        <v>3</v>
      </c>
      <c r="K348" s="13" t="s">
        <v>1785</v>
      </c>
      <c r="L348" s="13" t="s">
        <v>1786</v>
      </c>
      <c r="M348" s="13" t="s">
        <v>1781</v>
      </c>
      <c r="N348" s="13">
        <v>0.91</v>
      </c>
    </row>
    <row r="349" spans="1:14" ht="45" customHeight="1">
      <c r="A349" s="14" t="s">
        <v>2134</v>
      </c>
      <c r="B349" s="14" t="s">
        <v>318</v>
      </c>
      <c r="C349" s="14" t="s">
        <v>1697</v>
      </c>
      <c r="D349" s="14" t="s">
        <v>500</v>
      </c>
      <c r="E349" s="14" t="s">
        <v>1692</v>
      </c>
      <c r="F349" s="14" t="s">
        <v>711</v>
      </c>
      <c r="G349" s="14" t="s">
        <v>712</v>
      </c>
      <c r="H349" s="14" t="s">
        <v>565</v>
      </c>
      <c r="I349" s="14">
        <v>3</v>
      </c>
      <c r="J349" s="14">
        <v>3</v>
      </c>
      <c r="K349" s="14" t="s">
        <v>1785</v>
      </c>
      <c r="L349" s="14" t="s">
        <v>1786</v>
      </c>
      <c r="M349" s="14" t="s">
        <v>1781</v>
      </c>
      <c r="N349" s="14">
        <v>0.84</v>
      </c>
    </row>
    <row r="350" spans="1:14" ht="45" customHeight="1">
      <c r="A350" s="13" t="s">
        <v>2135</v>
      </c>
      <c r="B350" s="13" t="s">
        <v>318</v>
      </c>
      <c r="C350" s="13" t="s">
        <v>1697</v>
      </c>
      <c r="D350" s="13" t="s">
        <v>500</v>
      </c>
      <c r="E350" s="13" t="s">
        <v>1692</v>
      </c>
      <c r="F350" s="13" t="s">
        <v>718</v>
      </c>
      <c r="G350" s="13" t="s">
        <v>719</v>
      </c>
      <c r="H350" s="13" t="s">
        <v>565</v>
      </c>
      <c r="I350" s="13">
        <v>3</v>
      </c>
      <c r="J350" s="13">
        <v>2</v>
      </c>
      <c r="K350" s="13" t="s">
        <v>1785</v>
      </c>
      <c r="L350" s="13" t="s">
        <v>1786</v>
      </c>
      <c r="M350" s="13" t="s">
        <v>1781</v>
      </c>
      <c r="N350" s="13">
        <v>0.84</v>
      </c>
    </row>
    <row r="351" spans="1:14" ht="45" customHeight="1">
      <c r="A351" s="14" t="s">
        <v>2136</v>
      </c>
      <c r="B351" s="14" t="s">
        <v>318</v>
      </c>
      <c r="C351" s="14" t="s">
        <v>1697</v>
      </c>
      <c r="D351" s="14" t="s">
        <v>500</v>
      </c>
      <c r="E351" s="14" t="s">
        <v>1692</v>
      </c>
      <c r="F351" s="14" t="s">
        <v>725</v>
      </c>
      <c r="G351" s="14" t="s">
        <v>726</v>
      </c>
      <c r="H351" s="14" t="s">
        <v>565</v>
      </c>
      <c r="I351" s="14">
        <v>3</v>
      </c>
      <c r="J351" s="14">
        <v>2</v>
      </c>
      <c r="K351" s="14" t="s">
        <v>1785</v>
      </c>
      <c r="L351" s="14" t="s">
        <v>1786</v>
      </c>
      <c r="M351" s="14" t="s">
        <v>1781</v>
      </c>
      <c r="N351" s="14">
        <v>0.87</v>
      </c>
    </row>
    <row r="352" spans="1:14" ht="45" customHeight="1">
      <c r="A352" s="13" t="s">
        <v>2137</v>
      </c>
      <c r="B352" s="13" t="s">
        <v>318</v>
      </c>
      <c r="C352" s="13" t="s">
        <v>1697</v>
      </c>
      <c r="D352" s="13" t="s">
        <v>500</v>
      </c>
      <c r="E352" s="13" t="s">
        <v>1692</v>
      </c>
      <c r="F352" s="13" t="s">
        <v>735</v>
      </c>
      <c r="G352" s="13" t="s">
        <v>736</v>
      </c>
      <c r="H352" s="13" t="s">
        <v>737</v>
      </c>
      <c r="I352" s="13">
        <v>3</v>
      </c>
      <c r="J352" s="13">
        <v>3</v>
      </c>
      <c r="K352" s="13" t="s">
        <v>1785</v>
      </c>
      <c r="L352" s="13" t="s">
        <v>1786</v>
      </c>
      <c r="M352" s="13" t="s">
        <v>1781</v>
      </c>
      <c r="N352" s="13">
        <v>0.8</v>
      </c>
    </row>
    <row r="353" spans="1:14" ht="45" customHeight="1">
      <c r="A353" s="14" t="s">
        <v>2138</v>
      </c>
      <c r="B353" s="14" t="s">
        <v>318</v>
      </c>
      <c r="C353" s="14" t="s">
        <v>1697</v>
      </c>
      <c r="D353" s="14" t="s">
        <v>500</v>
      </c>
      <c r="E353" s="14" t="s">
        <v>1692</v>
      </c>
      <c r="F353" s="14" t="s">
        <v>743</v>
      </c>
      <c r="G353" s="14" t="s">
        <v>744</v>
      </c>
      <c r="H353" s="14" t="s">
        <v>737</v>
      </c>
      <c r="I353" s="14">
        <v>3</v>
      </c>
      <c r="J353" s="14">
        <v>3</v>
      </c>
      <c r="K353" s="14" t="s">
        <v>1785</v>
      </c>
      <c r="L353" s="14" t="s">
        <v>1786</v>
      </c>
      <c r="M353" s="14" t="s">
        <v>1781</v>
      </c>
      <c r="N353" s="14">
        <v>0.8</v>
      </c>
    </row>
    <row r="354" spans="1:14" ht="45" customHeight="1">
      <c r="A354" s="13" t="s">
        <v>2139</v>
      </c>
      <c r="B354" s="13" t="s">
        <v>318</v>
      </c>
      <c r="C354" s="13" t="s">
        <v>1699</v>
      </c>
      <c r="D354" s="13" t="s">
        <v>500</v>
      </c>
      <c r="E354" s="13" t="s">
        <v>1692</v>
      </c>
      <c r="F354" s="13" t="s">
        <v>678</v>
      </c>
      <c r="G354" s="13" t="s">
        <v>564</v>
      </c>
      <c r="H354" s="13" t="s">
        <v>565</v>
      </c>
      <c r="I354" s="13">
        <v>3</v>
      </c>
      <c r="J354" s="13">
        <v>3</v>
      </c>
      <c r="K354" s="13" t="s">
        <v>1785</v>
      </c>
      <c r="L354" s="13" t="s">
        <v>1786</v>
      </c>
      <c r="M354" s="13" t="s">
        <v>1782</v>
      </c>
      <c r="N354" s="13">
        <v>0.79</v>
      </c>
    </row>
    <row r="355" spans="1:14" ht="45" customHeight="1">
      <c r="A355" s="14" t="s">
        <v>2140</v>
      </c>
      <c r="B355" s="14" t="s">
        <v>318</v>
      </c>
      <c r="C355" s="14" t="s">
        <v>1699</v>
      </c>
      <c r="D355" s="14" t="s">
        <v>500</v>
      </c>
      <c r="E355" s="14" t="s">
        <v>1692</v>
      </c>
      <c r="F355" s="14" t="s">
        <v>683</v>
      </c>
      <c r="G355" s="14" t="s">
        <v>684</v>
      </c>
      <c r="H355" s="14" t="s">
        <v>565</v>
      </c>
      <c r="I355" s="14">
        <v>3</v>
      </c>
      <c r="J355" s="14">
        <v>3</v>
      </c>
      <c r="K355" s="14" t="s">
        <v>1785</v>
      </c>
      <c r="L355" s="14" t="s">
        <v>1786</v>
      </c>
      <c r="M355" s="14" t="s">
        <v>1782</v>
      </c>
      <c r="N355" s="14">
        <v>0.72</v>
      </c>
    </row>
    <row r="356" spans="1:14" ht="45" customHeight="1">
      <c r="A356" s="13" t="s">
        <v>2141</v>
      </c>
      <c r="B356" s="13" t="s">
        <v>318</v>
      </c>
      <c r="C356" s="13" t="s">
        <v>1699</v>
      </c>
      <c r="D356" s="13" t="s">
        <v>500</v>
      </c>
      <c r="E356" s="13" t="s">
        <v>1692</v>
      </c>
      <c r="F356" s="13" t="s">
        <v>690</v>
      </c>
      <c r="G356" s="13" t="s">
        <v>691</v>
      </c>
      <c r="H356" s="13" t="s">
        <v>565</v>
      </c>
      <c r="I356" s="13">
        <v>3</v>
      </c>
      <c r="J356" s="13">
        <v>2</v>
      </c>
      <c r="K356" s="13" t="s">
        <v>1785</v>
      </c>
      <c r="L356" s="13" t="s">
        <v>1786</v>
      </c>
      <c r="M356" s="13" t="s">
        <v>1782</v>
      </c>
      <c r="N356" s="13">
        <v>0.85</v>
      </c>
    </row>
    <row r="357" spans="1:14" ht="45" customHeight="1">
      <c r="A357" s="14" t="s">
        <v>2142</v>
      </c>
      <c r="B357" s="14" t="s">
        <v>318</v>
      </c>
      <c r="C357" s="14" t="s">
        <v>1699</v>
      </c>
      <c r="D357" s="14" t="s">
        <v>500</v>
      </c>
      <c r="E357" s="14" t="s">
        <v>1692</v>
      </c>
      <c r="F357" s="14" t="s">
        <v>697</v>
      </c>
      <c r="G357" s="14" t="s">
        <v>698</v>
      </c>
      <c r="H357" s="14" t="s">
        <v>565</v>
      </c>
      <c r="I357" s="14">
        <v>3</v>
      </c>
      <c r="J357" s="14">
        <v>3</v>
      </c>
      <c r="K357" s="14" t="s">
        <v>1785</v>
      </c>
      <c r="L357" s="14" t="s">
        <v>1786</v>
      </c>
      <c r="M357" s="14" t="s">
        <v>1782</v>
      </c>
      <c r="N357" s="14">
        <v>0.81</v>
      </c>
    </row>
    <row r="358" spans="1:14" ht="45" customHeight="1">
      <c r="A358" s="13" t="s">
        <v>2143</v>
      </c>
      <c r="B358" s="13" t="s">
        <v>318</v>
      </c>
      <c r="C358" s="13" t="s">
        <v>1699</v>
      </c>
      <c r="D358" s="13" t="s">
        <v>500</v>
      </c>
      <c r="E358" s="13" t="s">
        <v>1692</v>
      </c>
      <c r="F358" s="13" t="s">
        <v>704</v>
      </c>
      <c r="G358" s="13" t="s">
        <v>705</v>
      </c>
      <c r="H358" s="13" t="s">
        <v>565</v>
      </c>
      <c r="I358" s="13">
        <v>3</v>
      </c>
      <c r="J358" s="13">
        <v>2</v>
      </c>
      <c r="K358" s="13" t="s">
        <v>1785</v>
      </c>
      <c r="L358" s="13" t="s">
        <v>1788</v>
      </c>
      <c r="M358" s="13" t="s">
        <v>1782</v>
      </c>
      <c r="N358" s="13">
        <v>0.8</v>
      </c>
    </row>
    <row r="359" spans="1:14" ht="45" customHeight="1">
      <c r="A359" s="14" t="s">
        <v>2144</v>
      </c>
      <c r="B359" s="14" t="s">
        <v>318</v>
      </c>
      <c r="C359" s="14" t="s">
        <v>1699</v>
      </c>
      <c r="D359" s="14" t="s">
        <v>500</v>
      </c>
      <c r="E359" s="14" t="s">
        <v>1692</v>
      </c>
      <c r="F359" s="14" t="s">
        <v>711</v>
      </c>
      <c r="G359" s="14" t="s">
        <v>712</v>
      </c>
      <c r="H359" s="14" t="s">
        <v>565</v>
      </c>
      <c r="I359" s="14">
        <v>3</v>
      </c>
      <c r="J359" s="14">
        <v>3</v>
      </c>
      <c r="K359" s="14" t="s">
        <v>1785</v>
      </c>
      <c r="L359" s="14" t="s">
        <v>1788</v>
      </c>
      <c r="M359" s="14" t="s">
        <v>1782</v>
      </c>
      <c r="N359" s="14">
        <v>0.92</v>
      </c>
    </row>
    <row r="360" spans="1:14" ht="45" customHeight="1">
      <c r="A360" s="13" t="s">
        <v>2145</v>
      </c>
      <c r="B360" s="13" t="s">
        <v>318</v>
      </c>
      <c r="C360" s="13" t="s">
        <v>1699</v>
      </c>
      <c r="D360" s="13" t="s">
        <v>500</v>
      </c>
      <c r="E360" s="13" t="s">
        <v>1692</v>
      </c>
      <c r="F360" s="13" t="s">
        <v>718</v>
      </c>
      <c r="G360" s="13" t="s">
        <v>719</v>
      </c>
      <c r="H360" s="13" t="s">
        <v>565</v>
      </c>
      <c r="I360" s="13">
        <v>3</v>
      </c>
      <c r="J360" s="13">
        <v>3</v>
      </c>
      <c r="K360" s="13" t="s">
        <v>1785</v>
      </c>
      <c r="L360" s="13" t="s">
        <v>1786</v>
      </c>
      <c r="M360" s="13" t="s">
        <v>1782</v>
      </c>
      <c r="N360" s="13">
        <v>0.78</v>
      </c>
    </row>
    <row r="361" spans="1:14" ht="45" customHeight="1">
      <c r="A361" s="14" t="s">
        <v>2146</v>
      </c>
      <c r="B361" s="14" t="s">
        <v>318</v>
      </c>
      <c r="C361" s="14" t="s">
        <v>1699</v>
      </c>
      <c r="D361" s="14" t="s">
        <v>500</v>
      </c>
      <c r="E361" s="14" t="s">
        <v>1692</v>
      </c>
      <c r="F361" s="14" t="s">
        <v>725</v>
      </c>
      <c r="G361" s="14" t="s">
        <v>726</v>
      </c>
      <c r="H361" s="14" t="s">
        <v>565</v>
      </c>
      <c r="I361" s="14">
        <v>3</v>
      </c>
      <c r="J361" s="14">
        <v>3</v>
      </c>
      <c r="K361" s="14" t="s">
        <v>1785</v>
      </c>
      <c r="L361" s="14" t="s">
        <v>1788</v>
      </c>
      <c r="M361" s="14" t="s">
        <v>1782</v>
      </c>
      <c r="N361" s="14">
        <v>0.74</v>
      </c>
    </row>
    <row r="362" spans="1:14" ht="45" customHeight="1">
      <c r="A362" s="13" t="s">
        <v>2147</v>
      </c>
      <c r="B362" s="13" t="s">
        <v>318</v>
      </c>
      <c r="C362" s="13" t="s">
        <v>1699</v>
      </c>
      <c r="D362" s="13" t="s">
        <v>500</v>
      </c>
      <c r="E362" s="13" t="s">
        <v>1692</v>
      </c>
      <c r="F362" s="13" t="s">
        <v>735</v>
      </c>
      <c r="G362" s="13" t="s">
        <v>736</v>
      </c>
      <c r="H362" s="13" t="s">
        <v>737</v>
      </c>
      <c r="I362" s="13">
        <v>3</v>
      </c>
      <c r="J362" s="13">
        <v>3</v>
      </c>
      <c r="K362" s="13" t="s">
        <v>1785</v>
      </c>
      <c r="L362" s="13" t="s">
        <v>1786</v>
      </c>
      <c r="M362" s="13" t="s">
        <v>1782</v>
      </c>
      <c r="N362" s="13">
        <v>0.89</v>
      </c>
    </row>
    <row r="363" spans="1:14" ht="45" customHeight="1">
      <c r="A363" s="14" t="s">
        <v>2148</v>
      </c>
      <c r="B363" s="14" t="s">
        <v>318</v>
      </c>
      <c r="C363" s="14" t="s">
        <v>1699</v>
      </c>
      <c r="D363" s="14" t="s">
        <v>500</v>
      </c>
      <c r="E363" s="14" t="s">
        <v>1692</v>
      </c>
      <c r="F363" s="14" t="s">
        <v>743</v>
      </c>
      <c r="G363" s="14" t="s">
        <v>744</v>
      </c>
      <c r="H363" s="14" t="s">
        <v>737</v>
      </c>
      <c r="I363" s="14">
        <v>3</v>
      </c>
      <c r="J363" s="14">
        <v>3</v>
      </c>
      <c r="K363" s="14" t="s">
        <v>1785</v>
      </c>
      <c r="L363" s="14" t="s">
        <v>1786</v>
      </c>
      <c r="M363" s="14" t="s">
        <v>1782</v>
      </c>
      <c r="N363" s="14">
        <v>0.86</v>
      </c>
    </row>
  </sheetData>
  <autoFilter ref="A3:N363" xr:uid="{00000000-0009-0000-0000-000012000000}"/>
  <mergeCells count="1">
    <mergeCell ref="A1:L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63"/>
  <sheetViews>
    <sheetView showGridLines="0" workbookViewId="0">
      <pane ySplit="3" topLeftCell="A4" activePane="bottomLeft" state="frozen"/>
      <selection pane="bottomLeft"/>
    </sheetView>
  </sheetViews>
  <sheetFormatPr defaultRowHeight="15"/>
  <cols>
    <col min="1" max="1" width="16" customWidth="1"/>
    <col min="2" max="2" width="30" customWidth="1"/>
    <col min="3" max="3" width="12" customWidth="1"/>
    <col min="4" max="4" width="45" customWidth="1"/>
    <col min="5" max="5" width="23" customWidth="1"/>
    <col min="6" max="7" width="45" customWidth="1"/>
    <col min="8" max="8" width="12" customWidth="1"/>
    <col min="9" max="9" width="14" customWidth="1"/>
    <col min="10" max="10" width="15" customWidth="1"/>
    <col min="11" max="11" width="19" customWidth="1"/>
    <col min="12" max="12" width="14" customWidth="1"/>
    <col min="13" max="13" width="23" customWidth="1"/>
    <col min="14" max="14" width="45" customWidth="1"/>
    <col min="15" max="15" width="42" customWidth="1"/>
  </cols>
  <sheetData>
    <row r="1" spans="1:15" ht="26.1" customHeight="1">
      <c r="A1" s="16" t="s">
        <v>2149</v>
      </c>
      <c r="B1" s="17"/>
      <c r="C1" s="17"/>
      <c r="D1" s="17"/>
      <c r="E1" s="17"/>
      <c r="F1" s="17"/>
      <c r="G1" s="17"/>
      <c r="H1" s="17"/>
      <c r="I1" s="17"/>
      <c r="J1" s="17"/>
      <c r="K1" s="17"/>
      <c r="L1" s="17"/>
    </row>
    <row r="3" spans="1:15">
      <c r="A3" s="2" t="s">
        <v>372</v>
      </c>
      <c r="B3" s="2" t="s">
        <v>62</v>
      </c>
      <c r="C3" s="2" t="s">
        <v>316</v>
      </c>
      <c r="D3" s="2" t="s">
        <v>151</v>
      </c>
      <c r="E3" s="2" t="s">
        <v>322</v>
      </c>
      <c r="F3" s="2" t="s">
        <v>184</v>
      </c>
      <c r="G3" s="2" t="s">
        <v>186</v>
      </c>
      <c r="H3" s="2" t="s">
        <v>188</v>
      </c>
      <c r="I3" s="2" t="s">
        <v>362</v>
      </c>
      <c r="J3" s="2" t="s">
        <v>374</v>
      </c>
      <c r="K3" s="2" t="s">
        <v>376</v>
      </c>
      <c r="L3" s="2" t="s">
        <v>378</v>
      </c>
      <c r="M3" s="2" t="s">
        <v>380</v>
      </c>
      <c r="N3" s="2" t="s">
        <v>382</v>
      </c>
      <c r="O3" s="2" t="s">
        <v>384</v>
      </c>
    </row>
    <row r="4" spans="1:15" ht="45" customHeight="1">
      <c r="A4" s="13" t="s">
        <v>2150</v>
      </c>
      <c r="B4" s="13" t="s">
        <v>318</v>
      </c>
      <c r="C4" s="13" t="s">
        <v>1596</v>
      </c>
      <c r="D4" s="13" t="s">
        <v>463</v>
      </c>
      <c r="E4" s="13" t="s">
        <v>1598</v>
      </c>
      <c r="F4" s="13" t="s">
        <v>833</v>
      </c>
      <c r="G4" s="13" t="s">
        <v>834</v>
      </c>
      <c r="H4" s="13"/>
      <c r="I4" s="13">
        <v>3</v>
      </c>
      <c r="J4" s="13">
        <v>3</v>
      </c>
      <c r="K4" s="11">
        <f>IF(J4="","Assessment Pending",MAX(0,I4-J4))</f>
        <v>0</v>
      </c>
      <c r="L4" s="13" t="s">
        <v>2151</v>
      </c>
      <c r="M4" s="13" t="s">
        <v>1008</v>
      </c>
      <c r="N4" s="13" t="s">
        <v>2152</v>
      </c>
      <c r="O4" s="13"/>
    </row>
    <row r="5" spans="1:15" ht="45" customHeight="1">
      <c r="A5" s="14" t="s">
        <v>2153</v>
      </c>
      <c r="B5" s="14" t="s">
        <v>318</v>
      </c>
      <c r="C5" s="14" t="s">
        <v>1596</v>
      </c>
      <c r="D5" s="14" t="s">
        <v>463</v>
      </c>
      <c r="E5" s="14" t="s">
        <v>1598</v>
      </c>
      <c r="F5" s="14" t="s">
        <v>836</v>
      </c>
      <c r="G5" s="14" t="s">
        <v>837</v>
      </c>
      <c r="H5" s="14"/>
      <c r="I5" s="14">
        <v>4</v>
      </c>
      <c r="J5" s="14">
        <v>1</v>
      </c>
      <c r="K5" s="12">
        <f>IF(J5="","Assessment Pending",MAX(0,I5-J5))</f>
        <v>3</v>
      </c>
      <c r="L5" s="14" t="s">
        <v>899</v>
      </c>
      <c r="M5" s="14" t="s">
        <v>965</v>
      </c>
      <c r="N5" s="14" t="s">
        <v>2154</v>
      </c>
      <c r="O5" s="14" t="s">
        <v>2155</v>
      </c>
    </row>
    <row r="6" spans="1:15" ht="45" customHeight="1">
      <c r="A6" s="13" t="s">
        <v>2156</v>
      </c>
      <c r="B6" s="13" t="s">
        <v>318</v>
      </c>
      <c r="C6" s="13" t="s">
        <v>1596</v>
      </c>
      <c r="D6" s="13" t="s">
        <v>463</v>
      </c>
      <c r="E6" s="13" t="s">
        <v>1598</v>
      </c>
      <c r="F6" s="13" t="s">
        <v>839</v>
      </c>
      <c r="G6" s="13" t="s">
        <v>840</v>
      </c>
      <c r="H6" s="13"/>
      <c r="I6" s="13">
        <v>3</v>
      </c>
      <c r="J6" s="13">
        <v>2</v>
      </c>
      <c r="K6" s="11">
        <f>IF(J6="","Assessment Pending",MAX(0,I6-J6))</f>
        <v>1</v>
      </c>
      <c r="L6" s="13" t="s">
        <v>2157</v>
      </c>
      <c r="M6" s="13" t="s">
        <v>1018</v>
      </c>
      <c r="N6" s="13" t="s">
        <v>2154</v>
      </c>
      <c r="O6" s="13"/>
    </row>
    <row r="7" spans="1:15" ht="45" customHeight="1">
      <c r="A7" s="14" t="s">
        <v>2158</v>
      </c>
      <c r="B7" s="14" t="s">
        <v>318</v>
      </c>
      <c r="C7" s="14" t="s">
        <v>1596</v>
      </c>
      <c r="D7" s="14" t="s">
        <v>463</v>
      </c>
      <c r="E7" s="14" t="s">
        <v>1598</v>
      </c>
      <c r="F7" s="14" t="s">
        <v>842</v>
      </c>
      <c r="G7" s="14" t="s">
        <v>843</v>
      </c>
      <c r="H7" s="14"/>
      <c r="I7" s="14">
        <v>4</v>
      </c>
      <c r="J7" s="14">
        <v>1</v>
      </c>
      <c r="K7" s="12">
        <f>IF(J7="","Assessment Pending",MAX(0,I7-J7))</f>
        <v>3</v>
      </c>
      <c r="L7" s="14" t="s">
        <v>899</v>
      </c>
      <c r="M7" s="14" t="s">
        <v>1020</v>
      </c>
      <c r="N7" s="14" t="s">
        <v>2154</v>
      </c>
      <c r="O7" s="14"/>
    </row>
    <row r="8" spans="1:15" ht="45" customHeight="1">
      <c r="A8" s="13" t="s">
        <v>2159</v>
      </c>
      <c r="B8" s="13" t="s">
        <v>318</v>
      </c>
      <c r="C8" s="13" t="s">
        <v>1596</v>
      </c>
      <c r="D8" s="13" t="s">
        <v>463</v>
      </c>
      <c r="E8" s="13" t="s">
        <v>1598</v>
      </c>
      <c r="F8" s="13" t="s">
        <v>845</v>
      </c>
      <c r="G8" s="13" t="s">
        <v>846</v>
      </c>
      <c r="H8" s="13"/>
      <c r="I8" s="13">
        <v>3</v>
      </c>
      <c r="J8" s="13">
        <v>2</v>
      </c>
      <c r="K8" s="11">
        <f>IF(J8="","Assessment Pending",MAX(0,I8-J8))</f>
        <v>1</v>
      </c>
      <c r="L8" s="13" t="s">
        <v>2157</v>
      </c>
      <c r="M8" s="13" t="s">
        <v>1010</v>
      </c>
      <c r="N8" s="13" t="s">
        <v>2154</v>
      </c>
      <c r="O8" s="13"/>
    </row>
    <row r="9" spans="1:15" ht="45" customHeight="1">
      <c r="A9" s="14" t="s">
        <v>2160</v>
      </c>
      <c r="B9" s="14" t="s">
        <v>318</v>
      </c>
      <c r="C9" s="14" t="s">
        <v>1596</v>
      </c>
      <c r="D9" s="14" t="s">
        <v>463</v>
      </c>
      <c r="E9" s="14" t="s">
        <v>1598</v>
      </c>
      <c r="F9" s="14" t="s">
        <v>848</v>
      </c>
      <c r="G9" s="14" t="s">
        <v>849</v>
      </c>
      <c r="H9" s="14"/>
      <c r="I9" s="14">
        <v>4</v>
      </c>
      <c r="J9" s="14">
        <v>2</v>
      </c>
      <c r="K9" s="12">
        <f>IF(J9="","Assessment Pending",MAX(0,I9-J9))</f>
        <v>2</v>
      </c>
      <c r="L9" s="14" t="s">
        <v>899</v>
      </c>
      <c r="M9" s="14" t="s">
        <v>1024</v>
      </c>
      <c r="N9" s="14" t="s">
        <v>2154</v>
      </c>
      <c r="O9" s="14"/>
    </row>
    <row r="10" spans="1:15" ht="45" customHeight="1">
      <c r="A10" s="13" t="s">
        <v>2161</v>
      </c>
      <c r="B10" s="13" t="s">
        <v>318</v>
      </c>
      <c r="C10" s="13" t="s">
        <v>1596</v>
      </c>
      <c r="D10" s="13" t="s">
        <v>463</v>
      </c>
      <c r="E10" s="13" t="s">
        <v>1598</v>
      </c>
      <c r="F10" s="13" t="s">
        <v>851</v>
      </c>
      <c r="G10" s="13" t="s">
        <v>852</v>
      </c>
      <c r="H10" s="13"/>
      <c r="I10" s="13">
        <v>4</v>
      </c>
      <c r="J10" s="13">
        <v>3</v>
      </c>
      <c r="K10" s="11">
        <f>IF(J10="","Assessment Pending",MAX(0,I10-J10))</f>
        <v>1</v>
      </c>
      <c r="L10" s="13" t="s">
        <v>2157</v>
      </c>
      <c r="M10" s="13" t="s">
        <v>1014</v>
      </c>
      <c r="N10" s="13" t="s">
        <v>2154</v>
      </c>
      <c r="O10" s="13"/>
    </row>
    <row r="11" spans="1:15" ht="45" customHeight="1">
      <c r="A11" s="14" t="s">
        <v>2162</v>
      </c>
      <c r="B11" s="14" t="s">
        <v>318</v>
      </c>
      <c r="C11" s="14" t="s">
        <v>1596</v>
      </c>
      <c r="D11" s="14" t="s">
        <v>463</v>
      </c>
      <c r="E11" s="14" t="s">
        <v>1598</v>
      </c>
      <c r="F11" s="14" t="s">
        <v>854</v>
      </c>
      <c r="G11" s="14" t="s">
        <v>855</v>
      </c>
      <c r="H11" s="14"/>
      <c r="I11" s="14">
        <v>4</v>
      </c>
      <c r="J11" s="14">
        <v>1</v>
      </c>
      <c r="K11" s="12">
        <f>IF(J11="","Assessment Pending",MAX(0,I11-J11))</f>
        <v>3</v>
      </c>
      <c r="L11" s="14" t="s">
        <v>899</v>
      </c>
      <c r="M11" s="14" t="s">
        <v>1004</v>
      </c>
      <c r="N11" s="14" t="s">
        <v>2154</v>
      </c>
      <c r="O11" s="14"/>
    </row>
    <row r="12" spans="1:15" ht="45" customHeight="1">
      <c r="A12" s="13" t="s">
        <v>2163</v>
      </c>
      <c r="B12" s="13" t="s">
        <v>318</v>
      </c>
      <c r="C12" s="13" t="s">
        <v>1596</v>
      </c>
      <c r="D12" s="13" t="s">
        <v>463</v>
      </c>
      <c r="E12" s="13" t="s">
        <v>1598</v>
      </c>
      <c r="F12" s="13" t="s">
        <v>857</v>
      </c>
      <c r="G12" s="13" t="s">
        <v>858</v>
      </c>
      <c r="H12" s="13"/>
      <c r="I12" s="13">
        <v>4</v>
      </c>
      <c r="J12" s="13">
        <v>1</v>
      </c>
      <c r="K12" s="11">
        <f>IF(J12="","Assessment Pending",MAX(0,I12-J12))</f>
        <v>3</v>
      </c>
      <c r="L12" s="13" t="s">
        <v>899</v>
      </c>
      <c r="M12" s="13" t="s">
        <v>1016</v>
      </c>
      <c r="N12" s="13" t="s">
        <v>2154</v>
      </c>
      <c r="O12" s="13"/>
    </row>
    <row r="13" spans="1:15" ht="45" customHeight="1">
      <c r="A13" s="14" t="s">
        <v>2164</v>
      </c>
      <c r="B13" s="14" t="s">
        <v>318</v>
      </c>
      <c r="C13" s="14" t="s">
        <v>1596</v>
      </c>
      <c r="D13" s="14" t="s">
        <v>463</v>
      </c>
      <c r="E13" s="14" t="s">
        <v>1598</v>
      </c>
      <c r="F13" s="14" t="s">
        <v>860</v>
      </c>
      <c r="G13" s="14" t="s">
        <v>861</v>
      </c>
      <c r="H13" s="14"/>
      <c r="I13" s="14">
        <v>4</v>
      </c>
      <c r="J13" s="14">
        <v>2</v>
      </c>
      <c r="K13" s="12">
        <f>IF(J13="","Assessment Pending",MAX(0,I13-J13))</f>
        <v>2</v>
      </c>
      <c r="L13" s="14" t="s">
        <v>899</v>
      </c>
      <c r="M13" s="14" t="s">
        <v>1022</v>
      </c>
      <c r="N13" s="14" t="s">
        <v>2154</v>
      </c>
      <c r="O13" s="14"/>
    </row>
    <row r="14" spans="1:15" ht="45" customHeight="1">
      <c r="A14" s="13" t="s">
        <v>2165</v>
      </c>
      <c r="B14" s="13" t="s">
        <v>318</v>
      </c>
      <c r="C14" s="13" t="s">
        <v>1605</v>
      </c>
      <c r="D14" s="13" t="s">
        <v>463</v>
      </c>
      <c r="E14" s="13" t="s">
        <v>1598</v>
      </c>
      <c r="F14" s="13" t="s">
        <v>833</v>
      </c>
      <c r="G14" s="13" t="s">
        <v>834</v>
      </c>
      <c r="H14" s="13"/>
      <c r="I14" s="13">
        <v>3</v>
      </c>
      <c r="J14" s="13">
        <v>3</v>
      </c>
      <c r="K14" s="11">
        <f>IF(J14="","Assessment Pending",MAX(0,I14-J14))</f>
        <v>0</v>
      </c>
      <c r="L14" s="13" t="s">
        <v>2151</v>
      </c>
      <c r="M14" s="13" t="s">
        <v>1008</v>
      </c>
      <c r="N14" s="13" t="s">
        <v>2152</v>
      </c>
      <c r="O14" s="13"/>
    </row>
    <row r="15" spans="1:15" ht="45" customHeight="1">
      <c r="A15" s="14" t="s">
        <v>2166</v>
      </c>
      <c r="B15" s="14" t="s">
        <v>318</v>
      </c>
      <c r="C15" s="14" t="s">
        <v>1605</v>
      </c>
      <c r="D15" s="14" t="s">
        <v>463</v>
      </c>
      <c r="E15" s="14" t="s">
        <v>1598</v>
      </c>
      <c r="F15" s="14" t="s">
        <v>836</v>
      </c>
      <c r="G15" s="14" t="s">
        <v>837</v>
      </c>
      <c r="H15" s="14"/>
      <c r="I15" s="14">
        <v>4</v>
      </c>
      <c r="J15" s="14">
        <v>3</v>
      </c>
      <c r="K15" s="12">
        <f>IF(J15="","Assessment Pending",MAX(0,I15-J15))</f>
        <v>1</v>
      </c>
      <c r="L15" s="14" t="s">
        <v>2157</v>
      </c>
      <c r="M15" s="14" t="s">
        <v>965</v>
      </c>
      <c r="N15" s="14" t="s">
        <v>2154</v>
      </c>
      <c r="O15" s="14" t="s">
        <v>2155</v>
      </c>
    </row>
    <row r="16" spans="1:15" ht="45" customHeight="1">
      <c r="A16" s="13" t="s">
        <v>2167</v>
      </c>
      <c r="B16" s="13" t="s">
        <v>318</v>
      </c>
      <c r="C16" s="13" t="s">
        <v>1605</v>
      </c>
      <c r="D16" s="13" t="s">
        <v>463</v>
      </c>
      <c r="E16" s="13" t="s">
        <v>1598</v>
      </c>
      <c r="F16" s="13" t="s">
        <v>839</v>
      </c>
      <c r="G16" s="13" t="s">
        <v>840</v>
      </c>
      <c r="H16" s="13"/>
      <c r="I16" s="13">
        <v>3</v>
      </c>
      <c r="J16" s="13">
        <v>2</v>
      </c>
      <c r="K16" s="11">
        <f>IF(J16="","Assessment Pending",MAX(0,I16-J16))</f>
        <v>1</v>
      </c>
      <c r="L16" s="13" t="s">
        <v>2157</v>
      </c>
      <c r="M16" s="13" t="s">
        <v>1018</v>
      </c>
      <c r="N16" s="13" t="s">
        <v>2154</v>
      </c>
      <c r="O16" s="13"/>
    </row>
    <row r="17" spans="1:15" ht="45" customHeight="1">
      <c r="A17" s="14" t="s">
        <v>2168</v>
      </c>
      <c r="B17" s="14" t="s">
        <v>318</v>
      </c>
      <c r="C17" s="14" t="s">
        <v>1605</v>
      </c>
      <c r="D17" s="14" t="s">
        <v>463</v>
      </c>
      <c r="E17" s="14" t="s">
        <v>1598</v>
      </c>
      <c r="F17" s="14" t="s">
        <v>842</v>
      </c>
      <c r="G17" s="14" t="s">
        <v>843</v>
      </c>
      <c r="H17" s="14"/>
      <c r="I17" s="14">
        <v>4</v>
      </c>
      <c r="J17" s="14">
        <v>2</v>
      </c>
      <c r="K17" s="12">
        <f>IF(J17="","Assessment Pending",MAX(0,I17-J17))</f>
        <v>2</v>
      </c>
      <c r="L17" s="14" t="s">
        <v>899</v>
      </c>
      <c r="M17" s="14" t="s">
        <v>1020</v>
      </c>
      <c r="N17" s="14" t="s">
        <v>2154</v>
      </c>
      <c r="O17" s="14"/>
    </row>
    <row r="18" spans="1:15" ht="45" customHeight="1">
      <c r="A18" s="13" t="s">
        <v>2169</v>
      </c>
      <c r="B18" s="13" t="s">
        <v>318</v>
      </c>
      <c r="C18" s="13" t="s">
        <v>1605</v>
      </c>
      <c r="D18" s="13" t="s">
        <v>463</v>
      </c>
      <c r="E18" s="13" t="s">
        <v>1598</v>
      </c>
      <c r="F18" s="13" t="s">
        <v>845</v>
      </c>
      <c r="G18" s="13" t="s">
        <v>846</v>
      </c>
      <c r="H18" s="13"/>
      <c r="I18" s="13">
        <v>3</v>
      </c>
      <c r="J18" s="13">
        <v>1</v>
      </c>
      <c r="K18" s="11">
        <f>IF(J18="","Assessment Pending",MAX(0,I18-J18))</f>
        <v>2</v>
      </c>
      <c r="L18" s="13" t="s">
        <v>899</v>
      </c>
      <c r="M18" s="13" t="s">
        <v>1010</v>
      </c>
      <c r="N18" s="13" t="s">
        <v>2154</v>
      </c>
      <c r="O18" s="13"/>
    </row>
    <row r="19" spans="1:15" ht="45" customHeight="1">
      <c r="A19" s="14" t="s">
        <v>2170</v>
      </c>
      <c r="B19" s="14" t="s">
        <v>318</v>
      </c>
      <c r="C19" s="14" t="s">
        <v>1605</v>
      </c>
      <c r="D19" s="14" t="s">
        <v>463</v>
      </c>
      <c r="E19" s="14" t="s">
        <v>1598</v>
      </c>
      <c r="F19" s="14" t="s">
        <v>848</v>
      </c>
      <c r="G19" s="14" t="s">
        <v>849</v>
      </c>
      <c r="H19" s="14"/>
      <c r="I19" s="14">
        <v>4</v>
      </c>
      <c r="J19" s="14">
        <v>2</v>
      </c>
      <c r="K19" s="12">
        <f>IF(J19="","Assessment Pending",MAX(0,I19-J19))</f>
        <v>2</v>
      </c>
      <c r="L19" s="14" t="s">
        <v>899</v>
      </c>
      <c r="M19" s="14" t="s">
        <v>1024</v>
      </c>
      <c r="N19" s="14" t="s">
        <v>2154</v>
      </c>
      <c r="O19" s="14"/>
    </row>
    <row r="20" spans="1:15" ht="45" customHeight="1">
      <c r="A20" s="13" t="s">
        <v>2171</v>
      </c>
      <c r="B20" s="13" t="s">
        <v>318</v>
      </c>
      <c r="C20" s="13" t="s">
        <v>1605</v>
      </c>
      <c r="D20" s="13" t="s">
        <v>463</v>
      </c>
      <c r="E20" s="13" t="s">
        <v>1598</v>
      </c>
      <c r="F20" s="13" t="s">
        <v>851</v>
      </c>
      <c r="G20" s="13" t="s">
        <v>852</v>
      </c>
      <c r="H20" s="13"/>
      <c r="I20" s="13">
        <v>4</v>
      </c>
      <c r="J20" s="13">
        <v>2</v>
      </c>
      <c r="K20" s="11">
        <f>IF(J20="","Assessment Pending",MAX(0,I20-J20))</f>
        <v>2</v>
      </c>
      <c r="L20" s="13" t="s">
        <v>899</v>
      </c>
      <c r="M20" s="13" t="s">
        <v>1014</v>
      </c>
      <c r="N20" s="13" t="s">
        <v>2154</v>
      </c>
      <c r="O20" s="13"/>
    </row>
    <row r="21" spans="1:15" ht="45" customHeight="1">
      <c r="A21" s="14" t="s">
        <v>2172</v>
      </c>
      <c r="B21" s="14" t="s">
        <v>318</v>
      </c>
      <c r="C21" s="14" t="s">
        <v>1605</v>
      </c>
      <c r="D21" s="14" t="s">
        <v>463</v>
      </c>
      <c r="E21" s="14" t="s">
        <v>1598</v>
      </c>
      <c r="F21" s="14" t="s">
        <v>854</v>
      </c>
      <c r="G21" s="14" t="s">
        <v>855</v>
      </c>
      <c r="H21" s="14"/>
      <c r="I21" s="14">
        <v>4</v>
      </c>
      <c r="J21" s="14">
        <v>2</v>
      </c>
      <c r="K21" s="12">
        <f>IF(J21="","Assessment Pending",MAX(0,I21-J21))</f>
        <v>2</v>
      </c>
      <c r="L21" s="14" t="s">
        <v>899</v>
      </c>
      <c r="M21" s="14" t="s">
        <v>1004</v>
      </c>
      <c r="N21" s="14" t="s">
        <v>2154</v>
      </c>
      <c r="O21" s="14"/>
    </row>
    <row r="22" spans="1:15" ht="45" customHeight="1">
      <c r="A22" s="13" t="s">
        <v>2173</v>
      </c>
      <c r="B22" s="13" t="s">
        <v>318</v>
      </c>
      <c r="C22" s="13" t="s">
        <v>1605</v>
      </c>
      <c r="D22" s="13" t="s">
        <v>463</v>
      </c>
      <c r="E22" s="13" t="s">
        <v>1598</v>
      </c>
      <c r="F22" s="13" t="s">
        <v>857</v>
      </c>
      <c r="G22" s="13" t="s">
        <v>858</v>
      </c>
      <c r="H22" s="13"/>
      <c r="I22" s="13">
        <v>4</v>
      </c>
      <c r="J22" s="13">
        <v>3</v>
      </c>
      <c r="K22" s="11">
        <f>IF(J22="","Assessment Pending",MAX(0,I22-J22))</f>
        <v>1</v>
      </c>
      <c r="L22" s="13" t="s">
        <v>2157</v>
      </c>
      <c r="M22" s="13" t="s">
        <v>1016</v>
      </c>
      <c r="N22" s="13" t="s">
        <v>2154</v>
      </c>
      <c r="O22" s="13"/>
    </row>
    <row r="23" spans="1:15" ht="45" customHeight="1">
      <c r="A23" s="14" t="s">
        <v>2174</v>
      </c>
      <c r="B23" s="14" t="s">
        <v>318</v>
      </c>
      <c r="C23" s="14" t="s">
        <v>1605</v>
      </c>
      <c r="D23" s="14" t="s">
        <v>463</v>
      </c>
      <c r="E23" s="14" t="s">
        <v>1598</v>
      </c>
      <c r="F23" s="14" t="s">
        <v>860</v>
      </c>
      <c r="G23" s="14" t="s">
        <v>861</v>
      </c>
      <c r="H23" s="14"/>
      <c r="I23" s="14">
        <v>4</v>
      </c>
      <c r="J23" s="14">
        <v>2</v>
      </c>
      <c r="K23" s="12">
        <f>IF(J23="","Assessment Pending",MAX(0,I23-J23))</f>
        <v>2</v>
      </c>
      <c r="L23" s="14" t="s">
        <v>899</v>
      </c>
      <c r="M23" s="14" t="s">
        <v>1022</v>
      </c>
      <c r="N23" s="14" t="s">
        <v>2154</v>
      </c>
      <c r="O23" s="14"/>
    </row>
    <row r="24" spans="1:15" ht="45" customHeight="1">
      <c r="A24" s="13" t="s">
        <v>2175</v>
      </c>
      <c r="B24" s="13" t="s">
        <v>318</v>
      </c>
      <c r="C24" s="13" t="s">
        <v>1607</v>
      </c>
      <c r="D24" s="13" t="s">
        <v>463</v>
      </c>
      <c r="E24" s="13" t="s">
        <v>1598</v>
      </c>
      <c r="F24" s="13" t="s">
        <v>833</v>
      </c>
      <c r="G24" s="13" t="s">
        <v>834</v>
      </c>
      <c r="H24" s="13"/>
      <c r="I24" s="13">
        <v>3</v>
      </c>
      <c r="J24" s="13"/>
      <c r="K24" s="11" t="str">
        <f>IF(J24="","Assessment Pending",MAX(0,I24-J24))</f>
        <v>Assessment Pending</v>
      </c>
      <c r="L24" s="13"/>
      <c r="M24" s="13" t="s">
        <v>1008</v>
      </c>
      <c r="N24" s="13" t="s">
        <v>2176</v>
      </c>
      <c r="O24" s="13"/>
    </row>
    <row r="25" spans="1:15" ht="45" customHeight="1">
      <c r="A25" s="14" t="s">
        <v>2177</v>
      </c>
      <c r="B25" s="14" t="s">
        <v>318</v>
      </c>
      <c r="C25" s="14" t="s">
        <v>1607</v>
      </c>
      <c r="D25" s="14" t="s">
        <v>463</v>
      </c>
      <c r="E25" s="14" t="s">
        <v>1598</v>
      </c>
      <c r="F25" s="14" t="s">
        <v>836</v>
      </c>
      <c r="G25" s="14" t="s">
        <v>837</v>
      </c>
      <c r="H25" s="14"/>
      <c r="I25" s="14">
        <v>4</v>
      </c>
      <c r="J25" s="14"/>
      <c r="K25" s="12" t="str">
        <f>IF(J25="","Assessment Pending",MAX(0,I25-J25))</f>
        <v>Assessment Pending</v>
      </c>
      <c r="L25" s="14"/>
      <c r="M25" s="14" t="s">
        <v>965</v>
      </c>
      <c r="N25" s="14" t="s">
        <v>2176</v>
      </c>
      <c r="O25" s="14" t="s">
        <v>2155</v>
      </c>
    </row>
    <row r="26" spans="1:15" ht="45" customHeight="1">
      <c r="A26" s="13" t="s">
        <v>2178</v>
      </c>
      <c r="B26" s="13" t="s">
        <v>318</v>
      </c>
      <c r="C26" s="13" t="s">
        <v>1607</v>
      </c>
      <c r="D26" s="13" t="s">
        <v>463</v>
      </c>
      <c r="E26" s="13" t="s">
        <v>1598</v>
      </c>
      <c r="F26" s="13" t="s">
        <v>839</v>
      </c>
      <c r="G26" s="13" t="s">
        <v>840</v>
      </c>
      <c r="H26" s="13"/>
      <c r="I26" s="13">
        <v>3</v>
      </c>
      <c r="J26" s="13"/>
      <c r="K26" s="11" t="str">
        <f>IF(J26="","Assessment Pending",MAX(0,I26-J26))</f>
        <v>Assessment Pending</v>
      </c>
      <c r="L26" s="13"/>
      <c r="M26" s="13" t="s">
        <v>1018</v>
      </c>
      <c r="N26" s="13" t="s">
        <v>2176</v>
      </c>
      <c r="O26" s="13"/>
    </row>
    <row r="27" spans="1:15" ht="45" customHeight="1">
      <c r="A27" s="14" t="s">
        <v>2179</v>
      </c>
      <c r="B27" s="14" t="s">
        <v>318</v>
      </c>
      <c r="C27" s="14" t="s">
        <v>1607</v>
      </c>
      <c r="D27" s="14" t="s">
        <v>463</v>
      </c>
      <c r="E27" s="14" t="s">
        <v>1598</v>
      </c>
      <c r="F27" s="14" t="s">
        <v>842</v>
      </c>
      <c r="G27" s="14" t="s">
        <v>843</v>
      </c>
      <c r="H27" s="14"/>
      <c r="I27" s="14">
        <v>4</v>
      </c>
      <c r="J27" s="14"/>
      <c r="K27" s="12" t="str">
        <f>IF(J27="","Assessment Pending",MAX(0,I27-J27))</f>
        <v>Assessment Pending</v>
      </c>
      <c r="L27" s="14"/>
      <c r="M27" s="14" t="s">
        <v>1020</v>
      </c>
      <c r="N27" s="14" t="s">
        <v>2176</v>
      </c>
      <c r="O27" s="14"/>
    </row>
    <row r="28" spans="1:15" ht="45" customHeight="1">
      <c r="A28" s="13" t="s">
        <v>2180</v>
      </c>
      <c r="B28" s="13" t="s">
        <v>318</v>
      </c>
      <c r="C28" s="13" t="s">
        <v>1607</v>
      </c>
      <c r="D28" s="13" t="s">
        <v>463</v>
      </c>
      <c r="E28" s="13" t="s">
        <v>1598</v>
      </c>
      <c r="F28" s="13" t="s">
        <v>845</v>
      </c>
      <c r="G28" s="13" t="s">
        <v>846</v>
      </c>
      <c r="H28" s="13"/>
      <c r="I28" s="13">
        <v>3</v>
      </c>
      <c r="J28" s="13"/>
      <c r="K28" s="11" t="str">
        <f>IF(J28="","Assessment Pending",MAX(0,I28-J28))</f>
        <v>Assessment Pending</v>
      </c>
      <c r="L28" s="13"/>
      <c r="M28" s="13" t="s">
        <v>1010</v>
      </c>
      <c r="N28" s="13" t="s">
        <v>2176</v>
      </c>
      <c r="O28" s="13"/>
    </row>
    <row r="29" spans="1:15" ht="45" customHeight="1">
      <c r="A29" s="14" t="s">
        <v>2181</v>
      </c>
      <c r="B29" s="14" t="s">
        <v>318</v>
      </c>
      <c r="C29" s="14" t="s">
        <v>1607</v>
      </c>
      <c r="D29" s="14" t="s">
        <v>463</v>
      </c>
      <c r="E29" s="14" t="s">
        <v>1598</v>
      </c>
      <c r="F29" s="14" t="s">
        <v>848</v>
      </c>
      <c r="G29" s="14" t="s">
        <v>849</v>
      </c>
      <c r="H29" s="14"/>
      <c r="I29" s="14">
        <v>4</v>
      </c>
      <c r="J29" s="14"/>
      <c r="K29" s="12" t="str">
        <f>IF(J29="","Assessment Pending",MAX(0,I29-J29))</f>
        <v>Assessment Pending</v>
      </c>
      <c r="L29" s="14"/>
      <c r="M29" s="14" t="s">
        <v>1024</v>
      </c>
      <c r="N29" s="14" t="s">
        <v>2176</v>
      </c>
      <c r="O29" s="14"/>
    </row>
    <row r="30" spans="1:15" ht="45" customHeight="1">
      <c r="A30" s="13" t="s">
        <v>2182</v>
      </c>
      <c r="B30" s="13" t="s">
        <v>318</v>
      </c>
      <c r="C30" s="13" t="s">
        <v>1607</v>
      </c>
      <c r="D30" s="13" t="s">
        <v>463</v>
      </c>
      <c r="E30" s="13" t="s">
        <v>1598</v>
      </c>
      <c r="F30" s="13" t="s">
        <v>851</v>
      </c>
      <c r="G30" s="13" t="s">
        <v>852</v>
      </c>
      <c r="H30" s="13"/>
      <c r="I30" s="13">
        <v>4</v>
      </c>
      <c r="J30" s="13"/>
      <c r="K30" s="11" t="str">
        <f>IF(J30="","Assessment Pending",MAX(0,I30-J30))</f>
        <v>Assessment Pending</v>
      </c>
      <c r="L30" s="13"/>
      <c r="M30" s="13" t="s">
        <v>1014</v>
      </c>
      <c r="N30" s="13" t="s">
        <v>2176</v>
      </c>
      <c r="O30" s="13"/>
    </row>
    <row r="31" spans="1:15" ht="45" customHeight="1">
      <c r="A31" s="14" t="s">
        <v>2183</v>
      </c>
      <c r="B31" s="14" t="s">
        <v>318</v>
      </c>
      <c r="C31" s="14" t="s">
        <v>1607</v>
      </c>
      <c r="D31" s="14" t="s">
        <v>463</v>
      </c>
      <c r="E31" s="14" t="s">
        <v>1598</v>
      </c>
      <c r="F31" s="14" t="s">
        <v>854</v>
      </c>
      <c r="G31" s="14" t="s">
        <v>855</v>
      </c>
      <c r="H31" s="14"/>
      <c r="I31" s="14">
        <v>4</v>
      </c>
      <c r="J31" s="14"/>
      <c r="K31" s="12" t="str">
        <f>IF(J31="","Assessment Pending",MAX(0,I31-J31))</f>
        <v>Assessment Pending</v>
      </c>
      <c r="L31" s="14"/>
      <c r="M31" s="14" t="s">
        <v>1004</v>
      </c>
      <c r="N31" s="14" t="s">
        <v>2176</v>
      </c>
      <c r="O31" s="14"/>
    </row>
    <row r="32" spans="1:15" ht="45" customHeight="1">
      <c r="A32" s="13" t="s">
        <v>2184</v>
      </c>
      <c r="B32" s="13" t="s">
        <v>318</v>
      </c>
      <c r="C32" s="13" t="s">
        <v>1607</v>
      </c>
      <c r="D32" s="13" t="s">
        <v>463</v>
      </c>
      <c r="E32" s="13" t="s">
        <v>1598</v>
      </c>
      <c r="F32" s="13" t="s">
        <v>857</v>
      </c>
      <c r="G32" s="13" t="s">
        <v>858</v>
      </c>
      <c r="H32" s="13"/>
      <c r="I32" s="13">
        <v>4</v>
      </c>
      <c r="J32" s="13"/>
      <c r="K32" s="11" t="str">
        <f>IF(J32="","Assessment Pending",MAX(0,I32-J32))</f>
        <v>Assessment Pending</v>
      </c>
      <c r="L32" s="13"/>
      <c r="M32" s="13" t="s">
        <v>1016</v>
      </c>
      <c r="N32" s="13" t="s">
        <v>2176</v>
      </c>
      <c r="O32" s="13"/>
    </row>
    <row r="33" spans="1:15" ht="45" customHeight="1">
      <c r="A33" s="14" t="s">
        <v>2185</v>
      </c>
      <c r="B33" s="14" t="s">
        <v>318</v>
      </c>
      <c r="C33" s="14" t="s">
        <v>1607</v>
      </c>
      <c r="D33" s="14" t="s">
        <v>463</v>
      </c>
      <c r="E33" s="14" t="s">
        <v>1598</v>
      </c>
      <c r="F33" s="14" t="s">
        <v>860</v>
      </c>
      <c r="G33" s="14" t="s">
        <v>861</v>
      </c>
      <c r="H33" s="14"/>
      <c r="I33" s="14">
        <v>4</v>
      </c>
      <c r="J33" s="14"/>
      <c r="K33" s="12" t="str">
        <f>IF(J33="","Assessment Pending",MAX(0,I33-J33))</f>
        <v>Assessment Pending</v>
      </c>
      <c r="L33" s="14"/>
      <c r="M33" s="14" t="s">
        <v>1022</v>
      </c>
      <c r="N33" s="14" t="s">
        <v>2176</v>
      </c>
      <c r="O33" s="14"/>
    </row>
    <row r="34" spans="1:15" ht="45" customHeight="1">
      <c r="A34" s="13" t="s">
        <v>2186</v>
      </c>
      <c r="B34" s="13" t="s">
        <v>318</v>
      </c>
      <c r="C34" s="13" t="s">
        <v>1609</v>
      </c>
      <c r="D34" s="13" t="s">
        <v>463</v>
      </c>
      <c r="E34" s="13" t="s">
        <v>1598</v>
      </c>
      <c r="F34" s="13" t="s">
        <v>833</v>
      </c>
      <c r="G34" s="13" t="s">
        <v>834</v>
      </c>
      <c r="H34" s="13"/>
      <c r="I34" s="13">
        <v>3</v>
      </c>
      <c r="J34" s="13"/>
      <c r="K34" s="11" t="str">
        <f>IF(J34="","Assessment Pending",MAX(0,I34-J34))</f>
        <v>Assessment Pending</v>
      </c>
      <c r="L34" s="13"/>
      <c r="M34" s="13" t="s">
        <v>1008</v>
      </c>
      <c r="N34" s="13" t="s">
        <v>2176</v>
      </c>
      <c r="O34" s="13"/>
    </row>
    <row r="35" spans="1:15" ht="45" customHeight="1">
      <c r="A35" s="14" t="s">
        <v>2187</v>
      </c>
      <c r="B35" s="14" t="s">
        <v>318</v>
      </c>
      <c r="C35" s="14" t="s">
        <v>1609</v>
      </c>
      <c r="D35" s="14" t="s">
        <v>463</v>
      </c>
      <c r="E35" s="14" t="s">
        <v>1598</v>
      </c>
      <c r="F35" s="14" t="s">
        <v>836</v>
      </c>
      <c r="G35" s="14" t="s">
        <v>837</v>
      </c>
      <c r="H35" s="14"/>
      <c r="I35" s="14">
        <v>4</v>
      </c>
      <c r="J35" s="14"/>
      <c r="K35" s="12" t="str">
        <f>IF(J35="","Assessment Pending",MAX(0,I35-J35))</f>
        <v>Assessment Pending</v>
      </c>
      <c r="L35" s="14"/>
      <c r="M35" s="14" t="s">
        <v>965</v>
      </c>
      <c r="N35" s="14" t="s">
        <v>2176</v>
      </c>
      <c r="O35" s="14" t="s">
        <v>2155</v>
      </c>
    </row>
    <row r="36" spans="1:15" ht="45" customHeight="1">
      <c r="A36" s="13" t="s">
        <v>2188</v>
      </c>
      <c r="B36" s="13" t="s">
        <v>318</v>
      </c>
      <c r="C36" s="13" t="s">
        <v>1609</v>
      </c>
      <c r="D36" s="13" t="s">
        <v>463</v>
      </c>
      <c r="E36" s="13" t="s">
        <v>1598</v>
      </c>
      <c r="F36" s="13" t="s">
        <v>839</v>
      </c>
      <c r="G36" s="13" t="s">
        <v>840</v>
      </c>
      <c r="H36" s="13"/>
      <c r="I36" s="13">
        <v>3</v>
      </c>
      <c r="J36" s="13"/>
      <c r="K36" s="11" t="str">
        <f>IF(J36="","Assessment Pending",MAX(0,I36-J36))</f>
        <v>Assessment Pending</v>
      </c>
      <c r="L36" s="13"/>
      <c r="M36" s="13" t="s">
        <v>1018</v>
      </c>
      <c r="N36" s="13" t="s">
        <v>2176</v>
      </c>
      <c r="O36" s="13"/>
    </row>
    <row r="37" spans="1:15" ht="45" customHeight="1">
      <c r="A37" s="14" t="s">
        <v>2189</v>
      </c>
      <c r="B37" s="14" t="s">
        <v>318</v>
      </c>
      <c r="C37" s="14" t="s">
        <v>1609</v>
      </c>
      <c r="D37" s="14" t="s">
        <v>463</v>
      </c>
      <c r="E37" s="14" t="s">
        <v>1598</v>
      </c>
      <c r="F37" s="14" t="s">
        <v>842</v>
      </c>
      <c r="G37" s="14" t="s">
        <v>843</v>
      </c>
      <c r="H37" s="14"/>
      <c r="I37" s="14">
        <v>4</v>
      </c>
      <c r="J37" s="14"/>
      <c r="K37" s="12" t="str">
        <f>IF(J37="","Assessment Pending",MAX(0,I37-J37))</f>
        <v>Assessment Pending</v>
      </c>
      <c r="L37" s="14"/>
      <c r="M37" s="14" t="s">
        <v>1020</v>
      </c>
      <c r="N37" s="14" t="s">
        <v>2176</v>
      </c>
      <c r="O37" s="14"/>
    </row>
    <row r="38" spans="1:15" ht="45" customHeight="1">
      <c r="A38" s="13" t="s">
        <v>2190</v>
      </c>
      <c r="B38" s="13" t="s">
        <v>318</v>
      </c>
      <c r="C38" s="13" t="s">
        <v>1609</v>
      </c>
      <c r="D38" s="13" t="s">
        <v>463</v>
      </c>
      <c r="E38" s="13" t="s">
        <v>1598</v>
      </c>
      <c r="F38" s="13" t="s">
        <v>845</v>
      </c>
      <c r="G38" s="13" t="s">
        <v>846</v>
      </c>
      <c r="H38" s="13"/>
      <c r="I38" s="13">
        <v>3</v>
      </c>
      <c r="J38" s="13"/>
      <c r="K38" s="11" t="str">
        <f>IF(J38="","Assessment Pending",MAX(0,I38-J38))</f>
        <v>Assessment Pending</v>
      </c>
      <c r="L38" s="13"/>
      <c r="M38" s="13" t="s">
        <v>1010</v>
      </c>
      <c r="N38" s="13" t="s">
        <v>2176</v>
      </c>
      <c r="O38" s="13"/>
    </row>
    <row r="39" spans="1:15" ht="45" customHeight="1">
      <c r="A39" s="14" t="s">
        <v>2191</v>
      </c>
      <c r="B39" s="14" t="s">
        <v>318</v>
      </c>
      <c r="C39" s="14" t="s">
        <v>1609</v>
      </c>
      <c r="D39" s="14" t="s">
        <v>463</v>
      </c>
      <c r="E39" s="14" t="s">
        <v>1598</v>
      </c>
      <c r="F39" s="14" t="s">
        <v>848</v>
      </c>
      <c r="G39" s="14" t="s">
        <v>849</v>
      </c>
      <c r="H39" s="14"/>
      <c r="I39" s="14">
        <v>4</v>
      </c>
      <c r="J39" s="14"/>
      <c r="K39" s="12" t="str">
        <f>IF(J39="","Assessment Pending",MAX(0,I39-J39))</f>
        <v>Assessment Pending</v>
      </c>
      <c r="L39" s="14"/>
      <c r="M39" s="14" t="s">
        <v>1024</v>
      </c>
      <c r="N39" s="14" t="s">
        <v>2176</v>
      </c>
      <c r="O39" s="14"/>
    </row>
    <row r="40" spans="1:15" ht="45" customHeight="1">
      <c r="A40" s="13" t="s">
        <v>2192</v>
      </c>
      <c r="B40" s="13" t="s">
        <v>318</v>
      </c>
      <c r="C40" s="13" t="s">
        <v>1609</v>
      </c>
      <c r="D40" s="13" t="s">
        <v>463</v>
      </c>
      <c r="E40" s="13" t="s">
        <v>1598</v>
      </c>
      <c r="F40" s="13" t="s">
        <v>851</v>
      </c>
      <c r="G40" s="13" t="s">
        <v>852</v>
      </c>
      <c r="H40" s="13"/>
      <c r="I40" s="13">
        <v>4</v>
      </c>
      <c r="J40" s="13"/>
      <c r="K40" s="11" t="str">
        <f>IF(J40="","Assessment Pending",MAX(0,I40-J40))</f>
        <v>Assessment Pending</v>
      </c>
      <c r="L40" s="13"/>
      <c r="M40" s="13" t="s">
        <v>1014</v>
      </c>
      <c r="N40" s="13" t="s">
        <v>2176</v>
      </c>
      <c r="O40" s="13"/>
    </row>
    <row r="41" spans="1:15" ht="45" customHeight="1">
      <c r="A41" s="14" t="s">
        <v>2193</v>
      </c>
      <c r="B41" s="14" t="s">
        <v>318</v>
      </c>
      <c r="C41" s="14" t="s">
        <v>1609</v>
      </c>
      <c r="D41" s="14" t="s">
        <v>463</v>
      </c>
      <c r="E41" s="14" t="s">
        <v>1598</v>
      </c>
      <c r="F41" s="14" t="s">
        <v>854</v>
      </c>
      <c r="G41" s="14" t="s">
        <v>855</v>
      </c>
      <c r="H41" s="14"/>
      <c r="I41" s="14">
        <v>4</v>
      </c>
      <c r="J41" s="14"/>
      <c r="K41" s="12" t="str">
        <f>IF(J41="","Assessment Pending",MAX(0,I41-J41))</f>
        <v>Assessment Pending</v>
      </c>
      <c r="L41" s="14"/>
      <c r="M41" s="14" t="s">
        <v>1004</v>
      </c>
      <c r="N41" s="14" t="s">
        <v>2176</v>
      </c>
      <c r="O41" s="14"/>
    </row>
    <row r="42" spans="1:15" ht="45" customHeight="1">
      <c r="A42" s="13" t="s">
        <v>2194</v>
      </c>
      <c r="B42" s="13" t="s">
        <v>318</v>
      </c>
      <c r="C42" s="13" t="s">
        <v>1609</v>
      </c>
      <c r="D42" s="13" t="s">
        <v>463</v>
      </c>
      <c r="E42" s="13" t="s">
        <v>1598</v>
      </c>
      <c r="F42" s="13" t="s">
        <v>857</v>
      </c>
      <c r="G42" s="13" t="s">
        <v>858</v>
      </c>
      <c r="H42" s="13"/>
      <c r="I42" s="13">
        <v>4</v>
      </c>
      <c r="J42" s="13"/>
      <c r="K42" s="11" t="str">
        <f>IF(J42="","Assessment Pending",MAX(0,I42-J42))</f>
        <v>Assessment Pending</v>
      </c>
      <c r="L42" s="13"/>
      <c r="M42" s="13" t="s">
        <v>1016</v>
      </c>
      <c r="N42" s="13" t="s">
        <v>2176</v>
      </c>
      <c r="O42" s="13"/>
    </row>
    <row r="43" spans="1:15" ht="45" customHeight="1">
      <c r="A43" s="14" t="s">
        <v>2195</v>
      </c>
      <c r="B43" s="14" t="s">
        <v>318</v>
      </c>
      <c r="C43" s="14" t="s">
        <v>1609</v>
      </c>
      <c r="D43" s="14" t="s">
        <v>463</v>
      </c>
      <c r="E43" s="14" t="s">
        <v>1598</v>
      </c>
      <c r="F43" s="14" t="s">
        <v>860</v>
      </c>
      <c r="G43" s="14" t="s">
        <v>861</v>
      </c>
      <c r="H43" s="14"/>
      <c r="I43" s="14">
        <v>4</v>
      </c>
      <c r="J43" s="14"/>
      <c r="K43" s="12" t="str">
        <f>IF(J43="","Assessment Pending",MAX(0,I43-J43))</f>
        <v>Assessment Pending</v>
      </c>
      <c r="L43" s="14"/>
      <c r="M43" s="14" t="s">
        <v>1022</v>
      </c>
      <c r="N43" s="14" t="s">
        <v>2176</v>
      </c>
      <c r="O43" s="14"/>
    </row>
    <row r="44" spans="1:15" ht="45" customHeight="1">
      <c r="A44" s="13" t="s">
        <v>2196</v>
      </c>
      <c r="B44" s="13" t="s">
        <v>318</v>
      </c>
      <c r="C44" s="13" t="s">
        <v>1611</v>
      </c>
      <c r="D44" s="13" t="s">
        <v>471</v>
      </c>
      <c r="E44" s="13" t="s">
        <v>1613</v>
      </c>
      <c r="F44" s="13" t="s">
        <v>833</v>
      </c>
      <c r="G44" s="13" t="s">
        <v>834</v>
      </c>
      <c r="H44" s="13"/>
      <c r="I44" s="13">
        <v>3</v>
      </c>
      <c r="J44" s="13">
        <v>2</v>
      </c>
      <c r="K44" s="11">
        <f>IF(J44="","Assessment Pending",MAX(0,I44-J44))</f>
        <v>1</v>
      </c>
      <c r="L44" s="13" t="s">
        <v>2157</v>
      </c>
      <c r="M44" s="13" t="s">
        <v>1008</v>
      </c>
      <c r="N44" s="13" t="s">
        <v>2154</v>
      </c>
      <c r="O44" s="13"/>
    </row>
    <row r="45" spans="1:15" ht="45" customHeight="1">
      <c r="A45" s="14" t="s">
        <v>2197</v>
      </c>
      <c r="B45" s="14" t="s">
        <v>318</v>
      </c>
      <c r="C45" s="14" t="s">
        <v>1611</v>
      </c>
      <c r="D45" s="14" t="s">
        <v>471</v>
      </c>
      <c r="E45" s="14" t="s">
        <v>1613</v>
      </c>
      <c r="F45" s="14" t="s">
        <v>836</v>
      </c>
      <c r="G45" s="14" t="s">
        <v>837</v>
      </c>
      <c r="H45" s="14"/>
      <c r="I45" s="14">
        <v>4</v>
      </c>
      <c r="J45" s="14">
        <v>2</v>
      </c>
      <c r="K45" s="12">
        <f>IF(J45="","Assessment Pending",MAX(0,I45-J45))</f>
        <v>2</v>
      </c>
      <c r="L45" s="14" t="s">
        <v>899</v>
      </c>
      <c r="M45" s="14" t="s">
        <v>965</v>
      </c>
      <c r="N45" s="14" t="s">
        <v>2154</v>
      </c>
      <c r="O45" s="14" t="s">
        <v>2155</v>
      </c>
    </row>
    <row r="46" spans="1:15" ht="45" customHeight="1">
      <c r="A46" s="13" t="s">
        <v>2198</v>
      </c>
      <c r="B46" s="13" t="s">
        <v>318</v>
      </c>
      <c r="C46" s="13" t="s">
        <v>1611</v>
      </c>
      <c r="D46" s="13" t="s">
        <v>471</v>
      </c>
      <c r="E46" s="13" t="s">
        <v>1613</v>
      </c>
      <c r="F46" s="13" t="s">
        <v>839</v>
      </c>
      <c r="G46" s="13" t="s">
        <v>840</v>
      </c>
      <c r="H46" s="13"/>
      <c r="I46" s="13">
        <v>3</v>
      </c>
      <c r="J46" s="13">
        <v>2</v>
      </c>
      <c r="K46" s="11">
        <f>IF(J46="","Assessment Pending",MAX(0,I46-J46))</f>
        <v>1</v>
      </c>
      <c r="L46" s="13" t="s">
        <v>2157</v>
      </c>
      <c r="M46" s="13" t="s">
        <v>1018</v>
      </c>
      <c r="N46" s="13" t="s">
        <v>2154</v>
      </c>
      <c r="O46" s="13"/>
    </row>
    <row r="47" spans="1:15" ht="45" customHeight="1">
      <c r="A47" s="14" t="s">
        <v>2199</v>
      </c>
      <c r="B47" s="14" t="s">
        <v>318</v>
      </c>
      <c r="C47" s="14" t="s">
        <v>1611</v>
      </c>
      <c r="D47" s="14" t="s">
        <v>471</v>
      </c>
      <c r="E47" s="14" t="s">
        <v>1613</v>
      </c>
      <c r="F47" s="14" t="s">
        <v>842</v>
      </c>
      <c r="G47" s="14" t="s">
        <v>843</v>
      </c>
      <c r="H47" s="14"/>
      <c r="I47" s="14">
        <v>4</v>
      </c>
      <c r="J47" s="14">
        <v>2</v>
      </c>
      <c r="K47" s="12">
        <f>IF(J47="","Assessment Pending",MAX(0,I47-J47))</f>
        <v>2</v>
      </c>
      <c r="L47" s="14" t="s">
        <v>899</v>
      </c>
      <c r="M47" s="14" t="s">
        <v>1020</v>
      </c>
      <c r="N47" s="14" t="s">
        <v>2154</v>
      </c>
      <c r="O47" s="14"/>
    </row>
    <row r="48" spans="1:15" ht="45" customHeight="1">
      <c r="A48" s="13" t="s">
        <v>2200</v>
      </c>
      <c r="B48" s="13" t="s">
        <v>318</v>
      </c>
      <c r="C48" s="13" t="s">
        <v>1611</v>
      </c>
      <c r="D48" s="13" t="s">
        <v>471</v>
      </c>
      <c r="E48" s="13" t="s">
        <v>1613</v>
      </c>
      <c r="F48" s="13" t="s">
        <v>881</v>
      </c>
      <c r="G48" s="13" t="s">
        <v>629</v>
      </c>
      <c r="H48" s="13"/>
      <c r="I48" s="13">
        <v>3</v>
      </c>
      <c r="J48" s="13">
        <v>2</v>
      </c>
      <c r="K48" s="11">
        <f>IF(J48="","Assessment Pending",MAX(0,I48-J48))</f>
        <v>1</v>
      </c>
      <c r="L48" s="13" t="s">
        <v>2157</v>
      </c>
      <c r="M48" s="13" t="s">
        <v>1012</v>
      </c>
      <c r="N48" s="13" t="s">
        <v>2154</v>
      </c>
      <c r="O48" s="13"/>
    </row>
    <row r="49" spans="1:15" ht="45" customHeight="1">
      <c r="A49" s="14" t="s">
        <v>2201</v>
      </c>
      <c r="B49" s="14" t="s">
        <v>318</v>
      </c>
      <c r="C49" s="14" t="s">
        <v>1611</v>
      </c>
      <c r="D49" s="14" t="s">
        <v>471</v>
      </c>
      <c r="E49" s="14" t="s">
        <v>1613</v>
      </c>
      <c r="F49" s="14" t="s">
        <v>848</v>
      </c>
      <c r="G49" s="14" t="s">
        <v>849</v>
      </c>
      <c r="H49" s="14"/>
      <c r="I49" s="14">
        <v>4</v>
      </c>
      <c r="J49" s="14">
        <v>2</v>
      </c>
      <c r="K49" s="12">
        <f>IF(J49="","Assessment Pending",MAX(0,I49-J49))</f>
        <v>2</v>
      </c>
      <c r="L49" s="14" t="s">
        <v>899</v>
      </c>
      <c r="M49" s="14" t="s">
        <v>1024</v>
      </c>
      <c r="N49" s="14" t="s">
        <v>2154</v>
      </c>
      <c r="O49" s="14"/>
    </row>
    <row r="50" spans="1:15" ht="45" customHeight="1">
      <c r="A50" s="13" t="s">
        <v>2202</v>
      </c>
      <c r="B50" s="13" t="s">
        <v>318</v>
      </c>
      <c r="C50" s="13" t="s">
        <v>1611</v>
      </c>
      <c r="D50" s="13" t="s">
        <v>471</v>
      </c>
      <c r="E50" s="13" t="s">
        <v>1613</v>
      </c>
      <c r="F50" s="13" t="s">
        <v>851</v>
      </c>
      <c r="G50" s="13" t="s">
        <v>852</v>
      </c>
      <c r="H50" s="13"/>
      <c r="I50" s="13">
        <v>4</v>
      </c>
      <c r="J50" s="13">
        <v>1</v>
      </c>
      <c r="K50" s="11">
        <f>IF(J50="","Assessment Pending",MAX(0,I50-J50))</f>
        <v>3</v>
      </c>
      <c r="L50" s="13" t="s">
        <v>899</v>
      </c>
      <c r="M50" s="13" t="s">
        <v>1014</v>
      </c>
      <c r="N50" s="13" t="s">
        <v>2154</v>
      </c>
      <c r="O50" s="13"/>
    </row>
    <row r="51" spans="1:15" ht="45" customHeight="1">
      <c r="A51" s="14" t="s">
        <v>2203</v>
      </c>
      <c r="B51" s="14" t="s">
        <v>318</v>
      </c>
      <c r="C51" s="14" t="s">
        <v>1611</v>
      </c>
      <c r="D51" s="14" t="s">
        <v>471</v>
      </c>
      <c r="E51" s="14" t="s">
        <v>1613</v>
      </c>
      <c r="F51" s="14" t="s">
        <v>854</v>
      </c>
      <c r="G51" s="14" t="s">
        <v>855</v>
      </c>
      <c r="H51" s="14"/>
      <c r="I51" s="14">
        <v>4</v>
      </c>
      <c r="J51" s="14">
        <v>3</v>
      </c>
      <c r="K51" s="12">
        <f>IF(J51="","Assessment Pending",MAX(0,I51-J51))</f>
        <v>1</v>
      </c>
      <c r="L51" s="14" t="s">
        <v>2157</v>
      </c>
      <c r="M51" s="14" t="s">
        <v>1004</v>
      </c>
      <c r="N51" s="14" t="s">
        <v>2154</v>
      </c>
      <c r="O51" s="14"/>
    </row>
    <row r="52" spans="1:15" ht="45" customHeight="1">
      <c r="A52" s="13" t="s">
        <v>2204</v>
      </c>
      <c r="B52" s="13" t="s">
        <v>318</v>
      </c>
      <c r="C52" s="13" t="s">
        <v>1611</v>
      </c>
      <c r="D52" s="13" t="s">
        <v>471</v>
      </c>
      <c r="E52" s="13" t="s">
        <v>1613</v>
      </c>
      <c r="F52" s="13" t="s">
        <v>857</v>
      </c>
      <c r="G52" s="13" t="s">
        <v>858</v>
      </c>
      <c r="H52" s="13"/>
      <c r="I52" s="13">
        <v>4</v>
      </c>
      <c r="J52" s="13">
        <v>2</v>
      </c>
      <c r="K52" s="11">
        <f>IF(J52="","Assessment Pending",MAX(0,I52-J52))</f>
        <v>2</v>
      </c>
      <c r="L52" s="13" t="s">
        <v>899</v>
      </c>
      <c r="M52" s="13" t="s">
        <v>1016</v>
      </c>
      <c r="N52" s="13" t="s">
        <v>2154</v>
      </c>
      <c r="O52" s="13"/>
    </row>
    <row r="53" spans="1:15" ht="45" customHeight="1">
      <c r="A53" s="14" t="s">
        <v>2205</v>
      </c>
      <c r="B53" s="14" t="s">
        <v>318</v>
      </c>
      <c r="C53" s="14" t="s">
        <v>1611</v>
      </c>
      <c r="D53" s="14" t="s">
        <v>471</v>
      </c>
      <c r="E53" s="14" t="s">
        <v>1613</v>
      </c>
      <c r="F53" s="14" t="s">
        <v>860</v>
      </c>
      <c r="G53" s="14" t="s">
        <v>861</v>
      </c>
      <c r="H53" s="14"/>
      <c r="I53" s="14">
        <v>4</v>
      </c>
      <c r="J53" s="14">
        <v>2</v>
      </c>
      <c r="K53" s="12">
        <f>IF(J53="","Assessment Pending",MAX(0,I53-J53))</f>
        <v>2</v>
      </c>
      <c r="L53" s="14" t="s">
        <v>899</v>
      </c>
      <c r="M53" s="14" t="s">
        <v>1022</v>
      </c>
      <c r="N53" s="14" t="s">
        <v>2154</v>
      </c>
      <c r="O53" s="14"/>
    </row>
    <row r="54" spans="1:15" ht="45" customHeight="1">
      <c r="A54" s="13" t="s">
        <v>2206</v>
      </c>
      <c r="B54" s="13" t="s">
        <v>318</v>
      </c>
      <c r="C54" s="13" t="s">
        <v>1616</v>
      </c>
      <c r="D54" s="13" t="s">
        <v>471</v>
      </c>
      <c r="E54" s="13" t="s">
        <v>1613</v>
      </c>
      <c r="F54" s="13" t="s">
        <v>833</v>
      </c>
      <c r="G54" s="13" t="s">
        <v>834</v>
      </c>
      <c r="H54" s="13"/>
      <c r="I54" s="13">
        <v>3</v>
      </c>
      <c r="J54" s="13">
        <v>3</v>
      </c>
      <c r="K54" s="11">
        <f>IF(J54="","Assessment Pending",MAX(0,I54-J54))</f>
        <v>0</v>
      </c>
      <c r="L54" s="13" t="s">
        <v>2151</v>
      </c>
      <c r="M54" s="13" t="s">
        <v>1008</v>
      </c>
      <c r="N54" s="13" t="s">
        <v>2152</v>
      </c>
      <c r="O54" s="13"/>
    </row>
    <row r="55" spans="1:15" ht="45" customHeight="1">
      <c r="A55" s="14" t="s">
        <v>2207</v>
      </c>
      <c r="B55" s="14" t="s">
        <v>318</v>
      </c>
      <c r="C55" s="14" t="s">
        <v>1616</v>
      </c>
      <c r="D55" s="14" t="s">
        <v>471</v>
      </c>
      <c r="E55" s="14" t="s">
        <v>1613</v>
      </c>
      <c r="F55" s="14" t="s">
        <v>836</v>
      </c>
      <c r="G55" s="14" t="s">
        <v>837</v>
      </c>
      <c r="H55" s="14"/>
      <c r="I55" s="14">
        <v>4</v>
      </c>
      <c r="J55" s="14">
        <v>3</v>
      </c>
      <c r="K55" s="12">
        <f>IF(J55="","Assessment Pending",MAX(0,I55-J55))</f>
        <v>1</v>
      </c>
      <c r="L55" s="14" t="s">
        <v>2157</v>
      </c>
      <c r="M55" s="14" t="s">
        <v>965</v>
      </c>
      <c r="N55" s="14" t="s">
        <v>2154</v>
      </c>
      <c r="O55" s="14" t="s">
        <v>2155</v>
      </c>
    </row>
    <row r="56" spans="1:15" ht="45" customHeight="1">
      <c r="A56" s="13" t="s">
        <v>2208</v>
      </c>
      <c r="B56" s="13" t="s">
        <v>318</v>
      </c>
      <c r="C56" s="13" t="s">
        <v>1616</v>
      </c>
      <c r="D56" s="13" t="s">
        <v>471</v>
      </c>
      <c r="E56" s="13" t="s">
        <v>1613</v>
      </c>
      <c r="F56" s="13" t="s">
        <v>839</v>
      </c>
      <c r="G56" s="13" t="s">
        <v>840</v>
      </c>
      <c r="H56" s="13"/>
      <c r="I56" s="13">
        <v>3</v>
      </c>
      <c r="J56" s="13">
        <v>3</v>
      </c>
      <c r="K56" s="11">
        <f>IF(J56="","Assessment Pending",MAX(0,I56-J56))</f>
        <v>0</v>
      </c>
      <c r="L56" s="13" t="s">
        <v>2151</v>
      </c>
      <c r="M56" s="13" t="s">
        <v>1018</v>
      </c>
      <c r="N56" s="13" t="s">
        <v>2152</v>
      </c>
      <c r="O56" s="13"/>
    </row>
    <row r="57" spans="1:15" ht="45" customHeight="1">
      <c r="A57" s="14" t="s">
        <v>2209</v>
      </c>
      <c r="B57" s="14" t="s">
        <v>318</v>
      </c>
      <c r="C57" s="14" t="s">
        <v>1616</v>
      </c>
      <c r="D57" s="14" t="s">
        <v>471</v>
      </c>
      <c r="E57" s="14" t="s">
        <v>1613</v>
      </c>
      <c r="F57" s="14" t="s">
        <v>842</v>
      </c>
      <c r="G57" s="14" t="s">
        <v>843</v>
      </c>
      <c r="H57" s="14"/>
      <c r="I57" s="14">
        <v>4</v>
      </c>
      <c r="J57" s="14">
        <v>4</v>
      </c>
      <c r="K57" s="12">
        <f>IF(J57="","Assessment Pending",MAX(0,I57-J57))</f>
        <v>0</v>
      </c>
      <c r="L57" s="14" t="s">
        <v>2151</v>
      </c>
      <c r="M57" s="14" t="s">
        <v>1020</v>
      </c>
      <c r="N57" s="14" t="s">
        <v>2152</v>
      </c>
      <c r="O57" s="14"/>
    </row>
    <row r="58" spans="1:15" ht="45" customHeight="1">
      <c r="A58" s="13" t="s">
        <v>2210</v>
      </c>
      <c r="B58" s="13" t="s">
        <v>318</v>
      </c>
      <c r="C58" s="13" t="s">
        <v>1616</v>
      </c>
      <c r="D58" s="13" t="s">
        <v>471</v>
      </c>
      <c r="E58" s="13" t="s">
        <v>1613</v>
      </c>
      <c r="F58" s="13" t="s">
        <v>881</v>
      </c>
      <c r="G58" s="13" t="s">
        <v>629</v>
      </c>
      <c r="H58" s="13"/>
      <c r="I58" s="13">
        <v>3</v>
      </c>
      <c r="J58" s="13">
        <v>3</v>
      </c>
      <c r="K58" s="11">
        <f>IF(J58="","Assessment Pending",MAX(0,I58-J58))</f>
        <v>0</v>
      </c>
      <c r="L58" s="13" t="s">
        <v>2151</v>
      </c>
      <c r="M58" s="13" t="s">
        <v>1012</v>
      </c>
      <c r="N58" s="13" t="s">
        <v>2152</v>
      </c>
      <c r="O58" s="13"/>
    </row>
    <row r="59" spans="1:15" ht="45" customHeight="1">
      <c r="A59" s="14" t="s">
        <v>2211</v>
      </c>
      <c r="B59" s="14" t="s">
        <v>318</v>
      </c>
      <c r="C59" s="14" t="s">
        <v>1616</v>
      </c>
      <c r="D59" s="14" t="s">
        <v>471</v>
      </c>
      <c r="E59" s="14" t="s">
        <v>1613</v>
      </c>
      <c r="F59" s="14" t="s">
        <v>848</v>
      </c>
      <c r="G59" s="14" t="s">
        <v>849</v>
      </c>
      <c r="H59" s="14"/>
      <c r="I59" s="14">
        <v>4</v>
      </c>
      <c r="J59" s="14">
        <v>3</v>
      </c>
      <c r="K59" s="12">
        <f>IF(J59="","Assessment Pending",MAX(0,I59-J59))</f>
        <v>1</v>
      </c>
      <c r="L59" s="14" t="s">
        <v>2157</v>
      </c>
      <c r="M59" s="14" t="s">
        <v>1024</v>
      </c>
      <c r="N59" s="14" t="s">
        <v>2154</v>
      </c>
      <c r="O59" s="14"/>
    </row>
    <row r="60" spans="1:15" ht="45" customHeight="1">
      <c r="A60" s="13" t="s">
        <v>2212</v>
      </c>
      <c r="B60" s="13" t="s">
        <v>318</v>
      </c>
      <c r="C60" s="13" t="s">
        <v>1616</v>
      </c>
      <c r="D60" s="13" t="s">
        <v>471</v>
      </c>
      <c r="E60" s="13" t="s">
        <v>1613</v>
      </c>
      <c r="F60" s="13" t="s">
        <v>851</v>
      </c>
      <c r="G60" s="13" t="s">
        <v>852</v>
      </c>
      <c r="H60" s="13"/>
      <c r="I60" s="13">
        <v>4</v>
      </c>
      <c r="J60" s="13">
        <v>4</v>
      </c>
      <c r="K60" s="11">
        <f>IF(J60="","Assessment Pending",MAX(0,I60-J60))</f>
        <v>0</v>
      </c>
      <c r="L60" s="13" t="s">
        <v>2151</v>
      </c>
      <c r="M60" s="13" t="s">
        <v>1014</v>
      </c>
      <c r="N60" s="13" t="s">
        <v>2152</v>
      </c>
      <c r="O60" s="13"/>
    </row>
    <row r="61" spans="1:15" ht="45" customHeight="1">
      <c r="A61" s="14" t="s">
        <v>2213</v>
      </c>
      <c r="B61" s="14" t="s">
        <v>318</v>
      </c>
      <c r="C61" s="14" t="s">
        <v>1616</v>
      </c>
      <c r="D61" s="14" t="s">
        <v>471</v>
      </c>
      <c r="E61" s="14" t="s">
        <v>1613</v>
      </c>
      <c r="F61" s="14" t="s">
        <v>854</v>
      </c>
      <c r="G61" s="14" t="s">
        <v>855</v>
      </c>
      <c r="H61" s="14"/>
      <c r="I61" s="14">
        <v>4</v>
      </c>
      <c r="J61" s="14">
        <v>4</v>
      </c>
      <c r="K61" s="12">
        <f>IF(J61="","Assessment Pending",MAX(0,I61-J61))</f>
        <v>0</v>
      </c>
      <c r="L61" s="14" t="s">
        <v>2151</v>
      </c>
      <c r="M61" s="14" t="s">
        <v>1004</v>
      </c>
      <c r="N61" s="14" t="s">
        <v>2152</v>
      </c>
      <c r="O61" s="14"/>
    </row>
    <row r="62" spans="1:15" ht="45" customHeight="1">
      <c r="A62" s="13" t="s">
        <v>2214</v>
      </c>
      <c r="B62" s="13" t="s">
        <v>318</v>
      </c>
      <c r="C62" s="13" t="s">
        <v>1616</v>
      </c>
      <c r="D62" s="13" t="s">
        <v>471</v>
      </c>
      <c r="E62" s="13" t="s">
        <v>1613</v>
      </c>
      <c r="F62" s="13" t="s">
        <v>857</v>
      </c>
      <c r="G62" s="13" t="s">
        <v>858</v>
      </c>
      <c r="H62" s="13"/>
      <c r="I62" s="13">
        <v>4</v>
      </c>
      <c r="J62" s="13">
        <v>4</v>
      </c>
      <c r="K62" s="11">
        <f>IF(J62="","Assessment Pending",MAX(0,I62-J62))</f>
        <v>0</v>
      </c>
      <c r="L62" s="13" t="s">
        <v>2151</v>
      </c>
      <c r="M62" s="13" t="s">
        <v>1016</v>
      </c>
      <c r="N62" s="13" t="s">
        <v>2152</v>
      </c>
      <c r="O62" s="13"/>
    </row>
    <row r="63" spans="1:15" ht="45" customHeight="1">
      <c r="A63" s="14" t="s">
        <v>2215</v>
      </c>
      <c r="B63" s="14" t="s">
        <v>318</v>
      </c>
      <c r="C63" s="14" t="s">
        <v>1616</v>
      </c>
      <c r="D63" s="14" t="s">
        <v>471</v>
      </c>
      <c r="E63" s="14" t="s">
        <v>1613</v>
      </c>
      <c r="F63" s="14" t="s">
        <v>860</v>
      </c>
      <c r="G63" s="14" t="s">
        <v>861</v>
      </c>
      <c r="H63" s="14"/>
      <c r="I63" s="14">
        <v>4</v>
      </c>
      <c r="J63" s="14">
        <v>4</v>
      </c>
      <c r="K63" s="12">
        <f>IF(J63="","Assessment Pending",MAX(0,I63-J63))</f>
        <v>0</v>
      </c>
      <c r="L63" s="14" t="s">
        <v>2151</v>
      </c>
      <c r="M63" s="14" t="s">
        <v>1022</v>
      </c>
      <c r="N63" s="14" t="s">
        <v>2152</v>
      </c>
      <c r="O63" s="14"/>
    </row>
    <row r="64" spans="1:15" ht="45" customHeight="1">
      <c r="A64" s="13" t="s">
        <v>2216</v>
      </c>
      <c r="B64" s="13" t="s">
        <v>318</v>
      </c>
      <c r="C64" s="13" t="s">
        <v>1618</v>
      </c>
      <c r="D64" s="13" t="s">
        <v>471</v>
      </c>
      <c r="E64" s="13" t="s">
        <v>1613</v>
      </c>
      <c r="F64" s="13" t="s">
        <v>833</v>
      </c>
      <c r="G64" s="13" t="s">
        <v>834</v>
      </c>
      <c r="H64" s="13"/>
      <c r="I64" s="13">
        <v>3</v>
      </c>
      <c r="J64" s="13">
        <v>2</v>
      </c>
      <c r="K64" s="11">
        <f>IF(J64="","Assessment Pending",MAX(0,I64-J64))</f>
        <v>1</v>
      </c>
      <c r="L64" s="13" t="s">
        <v>2157</v>
      </c>
      <c r="M64" s="13" t="s">
        <v>1008</v>
      </c>
      <c r="N64" s="13" t="s">
        <v>2154</v>
      </c>
      <c r="O64" s="13"/>
    </row>
    <row r="65" spans="1:15" ht="45" customHeight="1">
      <c r="A65" s="14" t="s">
        <v>2217</v>
      </c>
      <c r="B65" s="14" t="s">
        <v>318</v>
      </c>
      <c r="C65" s="14" t="s">
        <v>1618</v>
      </c>
      <c r="D65" s="14" t="s">
        <v>471</v>
      </c>
      <c r="E65" s="14" t="s">
        <v>1613</v>
      </c>
      <c r="F65" s="14" t="s">
        <v>836</v>
      </c>
      <c r="G65" s="14" t="s">
        <v>837</v>
      </c>
      <c r="H65" s="14"/>
      <c r="I65" s="14">
        <v>4</v>
      </c>
      <c r="J65" s="14">
        <v>2</v>
      </c>
      <c r="K65" s="12">
        <f>IF(J65="","Assessment Pending",MAX(0,I65-J65))</f>
        <v>2</v>
      </c>
      <c r="L65" s="14" t="s">
        <v>899</v>
      </c>
      <c r="M65" s="14" t="s">
        <v>965</v>
      </c>
      <c r="N65" s="14" t="s">
        <v>2154</v>
      </c>
      <c r="O65" s="14" t="s">
        <v>2155</v>
      </c>
    </row>
    <row r="66" spans="1:15" ht="45" customHeight="1">
      <c r="A66" s="13" t="s">
        <v>2218</v>
      </c>
      <c r="B66" s="13" t="s">
        <v>318</v>
      </c>
      <c r="C66" s="13" t="s">
        <v>1618</v>
      </c>
      <c r="D66" s="13" t="s">
        <v>471</v>
      </c>
      <c r="E66" s="13" t="s">
        <v>1613</v>
      </c>
      <c r="F66" s="13" t="s">
        <v>839</v>
      </c>
      <c r="G66" s="13" t="s">
        <v>840</v>
      </c>
      <c r="H66" s="13"/>
      <c r="I66" s="13">
        <v>3</v>
      </c>
      <c r="J66" s="13">
        <v>3</v>
      </c>
      <c r="K66" s="11">
        <f>IF(J66="","Assessment Pending",MAX(0,I66-J66))</f>
        <v>0</v>
      </c>
      <c r="L66" s="13" t="s">
        <v>2151</v>
      </c>
      <c r="M66" s="13" t="s">
        <v>1018</v>
      </c>
      <c r="N66" s="13" t="s">
        <v>2152</v>
      </c>
      <c r="O66" s="13"/>
    </row>
    <row r="67" spans="1:15" ht="45" customHeight="1">
      <c r="A67" s="14" t="s">
        <v>2219</v>
      </c>
      <c r="B67" s="14" t="s">
        <v>318</v>
      </c>
      <c r="C67" s="14" t="s">
        <v>1618</v>
      </c>
      <c r="D67" s="14" t="s">
        <v>471</v>
      </c>
      <c r="E67" s="14" t="s">
        <v>1613</v>
      </c>
      <c r="F67" s="14" t="s">
        <v>842</v>
      </c>
      <c r="G67" s="14" t="s">
        <v>843</v>
      </c>
      <c r="H67" s="14"/>
      <c r="I67" s="14">
        <v>4</v>
      </c>
      <c r="J67" s="14">
        <v>3</v>
      </c>
      <c r="K67" s="12">
        <f>IF(J67="","Assessment Pending",MAX(0,I67-J67))</f>
        <v>1</v>
      </c>
      <c r="L67" s="14" t="s">
        <v>2157</v>
      </c>
      <c r="M67" s="14" t="s">
        <v>1020</v>
      </c>
      <c r="N67" s="14" t="s">
        <v>2154</v>
      </c>
      <c r="O67" s="14"/>
    </row>
    <row r="68" spans="1:15" ht="45" customHeight="1">
      <c r="A68" s="13" t="s">
        <v>2220</v>
      </c>
      <c r="B68" s="13" t="s">
        <v>318</v>
      </c>
      <c r="C68" s="13" t="s">
        <v>1618</v>
      </c>
      <c r="D68" s="13" t="s">
        <v>471</v>
      </c>
      <c r="E68" s="13" t="s">
        <v>1613</v>
      </c>
      <c r="F68" s="13" t="s">
        <v>881</v>
      </c>
      <c r="G68" s="13" t="s">
        <v>629</v>
      </c>
      <c r="H68" s="13"/>
      <c r="I68" s="13">
        <v>3</v>
      </c>
      <c r="J68" s="13">
        <v>2</v>
      </c>
      <c r="K68" s="11">
        <f>IF(J68="","Assessment Pending",MAX(0,I68-J68))</f>
        <v>1</v>
      </c>
      <c r="L68" s="13" t="s">
        <v>2157</v>
      </c>
      <c r="M68" s="13" t="s">
        <v>1012</v>
      </c>
      <c r="N68" s="13" t="s">
        <v>2154</v>
      </c>
      <c r="O68" s="13"/>
    </row>
    <row r="69" spans="1:15" ht="45" customHeight="1">
      <c r="A69" s="14" t="s">
        <v>2221</v>
      </c>
      <c r="B69" s="14" t="s">
        <v>318</v>
      </c>
      <c r="C69" s="14" t="s">
        <v>1618</v>
      </c>
      <c r="D69" s="14" t="s">
        <v>471</v>
      </c>
      <c r="E69" s="14" t="s">
        <v>1613</v>
      </c>
      <c r="F69" s="14" t="s">
        <v>848</v>
      </c>
      <c r="G69" s="14" t="s">
        <v>849</v>
      </c>
      <c r="H69" s="14"/>
      <c r="I69" s="14">
        <v>4</v>
      </c>
      <c r="J69" s="14">
        <v>2</v>
      </c>
      <c r="K69" s="12">
        <f>IF(J69="","Assessment Pending",MAX(0,I69-J69))</f>
        <v>2</v>
      </c>
      <c r="L69" s="14" t="s">
        <v>899</v>
      </c>
      <c r="M69" s="14" t="s">
        <v>1024</v>
      </c>
      <c r="N69" s="14" t="s">
        <v>2154</v>
      </c>
      <c r="O69" s="14"/>
    </row>
    <row r="70" spans="1:15" ht="45" customHeight="1">
      <c r="A70" s="13" t="s">
        <v>2222</v>
      </c>
      <c r="B70" s="13" t="s">
        <v>318</v>
      </c>
      <c r="C70" s="13" t="s">
        <v>1618</v>
      </c>
      <c r="D70" s="13" t="s">
        <v>471</v>
      </c>
      <c r="E70" s="13" t="s">
        <v>1613</v>
      </c>
      <c r="F70" s="13" t="s">
        <v>851</v>
      </c>
      <c r="G70" s="13" t="s">
        <v>852</v>
      </c>
      <c r="H70" s="13"/>
      <c r="I70" s="13">
        <v>4</v>
      </c>
      <c r="J70" s="13">
        <v>1</v>
      </c>
      <c r="K70" s="11">
        <f>IF(J70="","Assessment Pending",MAX(0,I70-J70))</f>
        <v>3</v>
      </c>
      <c r="L70" s="13" t="s">
        <v>899</v>
      </c>
      <c r="M70" s="13" t="s">
        <v>1014</v>
      </c>
      <c r="N70" s="13" t="s">
        <v>2154</v>
      </c>
      <c r="O70" s="13"/>
    </row>
    <row r="71" spans="1:15" ht="45" customHeight="1">
      <c r="A71" s="14" t="s">
        <v>2223</v>
      </c>
      <c r="B71" s="14" t="s">
        <v>318</v>
      </c>
      <c r="C71" s="14" t="s">
        <v>1618</v>
      </c>
      <c r="D71" s="14" t="s">
        <v>471</v>
      </c>
      <c r="E71" s="14" t="s">
        <v>1613</v>
      </c>
      <c r="F71" s="14" t="s">
        <v>854</v>
      </c>
      <c r="G71" s="14" t="s">
        <v>855</v>
      </c>
      <c r="H71" s="14"/>
      <c r="I71" s="14">
        <v>4</v>
      </c>
      <c r="J71" s="14">
        <v>2</v>
      </c>
      <c r="K71" s="12">
        <f>IF(J71="","Assessment Pending",MAX(0,I71-J71))</f>
        <v>2</v>
      </c>
      <c r="L71" s="14" t="s">
        <v>899</v>
      </c>
      <c r="M71" s="14" t="s">
        <v>1004</v>
      </c>
      <c r="N71" s="14" t="s">
        <v>2154</v>
      </c>
      <c r="O71" s="14"/>
    </row>
    <row r="72" spans="1:15" ht="45" customHeight="1">
      <c r="A72" s="13" t="s">
        <v>2224</v>
      </c>
      <c r="B72" s="13" t="s">
        <v>318</v>
      </c>
      <c r="C72" s="13" t="s">
        <v>1618</v>
      </c>
      <c r="D72" s="13" t="s">
        <v>471</v>
      </c>
      <c r="E72" s="13" t="s">
        <v>1613</v>
      </c>
      <c r="F72" s="13" t="s">
        <v>857</v>
      </c>
      <c r="G72" s="13" t="s">
        <v>858</v>
      </c>
      <c r="H72" s="13"/>
      <c r="I72" s="13">
        <v>4</v>
      </c>
      <c r="J72" s="13">
        <v>3</v>
      </c>
      <c r="K72" s="11">
        <f>IF(J72="","Assessment Pending",MAX(0,I72-J72))</f>
        <v>1</v>
      </c>
      <c r="L72" s="13" t="s">
        <v>2157</v>
      </c>
      <c r="M72" s="13" t="s">
        <v>1016</v>
      </c>
      <c r="N72" s="13" t="s">
        <v>2154</v>
      </c>
      <c r="O72" s="13"/>
    </row>
    <row r="73" spans="1:15" ht="45" customHeight="1">
      <c r="A73" s="14" t="s">
        <v>2225</v>
      </c>
      <c r="B73" s="14" t="s">
        <v>318</v>
      </c>
      <c r="C73" s="14" t="s">
        <v>1618</v>
      </c>
      <c r="D73" s="14" t="s">
        <v>471</v>
      </c>
      <c r="E73" s="14" t="s">
        <v>1613</v>
      </c>
      <c r="F73" s="14" t="s">
        <v>860</v>
      </c>
      <c r="G73" s="14" t="s">
        <v>861</v>
      </c>
      <c r="H73" s="14"/>
      <c r="I73" s="14">
        <v>4</v>
      </c>
      <c r="J73" s="14">
        <v>2</v>
      </c>
      <c r="K73" s="12">
        <f>IF(J73="","Assessment Pending",MAX(0,I73-J73))</f>
        <v>2</v>
      </c>
      <c r="L73" s="14" t="s">
        <v>899</v>
      </c>
      <c r="M73" s="14" t="s">
        <v>1022</v>
      </c>
      <c r="N73" s="14" t="s">
        <v>2154</v>
      </c>
      <c r="O73" s="14"/>
    </row>
    <row r="74" spans="1:15" ht="45" customHeight="1">
      <c r="A74" s="13" t="s">
        <v>2226</v>
      </c>
      <c r="B74" s="13" t="s">
        <v>318</v>
      </c>
      <c r="C74" s="13" t="s">
        <v>1620</v>
      </c>
      <c r="D74" s="13" t="s">
        <v>471</v>
      </c>
      <c r="E74" s="13" t="s">
        <v>1613</v>
      </c>
      <c r="F74" s="13" t="s">
        <v>833</v>
      </c>
      <c r="G74" s="13" t="s">
        <v>834</v>
      </c>
      <c r="H74" s="13"/>
      <c r="I74" s="13">
        <v>3</v>
      </c>
      <c r="J74" s="13"/>
      <c r="K74" s="11" t="str">
        <f>IF(J74="","Assessment Pending",MAX(0,I74-J74))</f>
        <v>Assessment Pending</v>
      </c>
      <c r="L74" s="13"/>
      <c r="M74" s="13" t="s">
        <v>1008</v>
      </c>
      <c r="N74" s="13" t="s">
        <v>2176</v>
      </c>
      <c r="O74" s="13"/>
    </row>
    <row r="75" spans="1:15" ht="45" customHeight="1">
      <c r="A75" s="14" t="s">
        <v>2227</v>
      </c>
      <c r="B75" s="14" t="s">
        <v>318</v>
      </c>
      <c r="C75" s="14" t="s">
        <v>1620</v>
      </c>
      <c r="D75" s="14" t="s">
        <v>471</v>
      </c>
      <c r="E75" s="14" t="s">
        <v>1613</v>
      </c>
      <c r="F75" s="14" t="s">
        <v>836</v>
      </c>
      <c r="G75" s="14" t="s">
        <v>837</v>
      </c>
      <c r="H75" s="14"/>
      <c r="I75" s="14">
        <v>4</v>
      </c>
      <c r="J75" s="14"/>
      <c r="K75" s="12" t="str">
        <f>IF(J75="","Assessment Pending",MAX(0,I75-J75))</f>
        <v>Assessment Pending</v>
      </c>
      <c r="L75" s="14"/>
      <c r="M75" s="14" t="s">
        <v>965</v>
      </c>
      <c r="N75" s="14" t="s">
        <v>2176</v>
      </c>
      <c r="O75" s="14" t="s">
        <v>2155</v>
      </c>
    </row>
    <row r="76" spans="1:15" ht="45" customHeight="1">
      <c r="A76" s="13" t="s">
        <v>2228</v>
      </c>
      <c r="B76" s="13" t="s">
        <v>318</v>
      </c>
      <c r="C76" s="13" t="s">
        <v>1620</v>
      </c>
      <c r="D76" s="13" t="s">
        <v>471</v>
      </c>
      <c r="E76" s="13" t="s">
        <v>1613</v>
      </c>
      <c r="F76" s="13" t="s">
        <v>839</v>
      </c>
      <c r="G76" s="13" t="s">
        <v>840</v>
      </c>
      <c r="H76" s="13"/>
      <c r="I76" s="13">
        <v>3</v>
      </c>
      <c r="J76" s="13"/>
      <c r="K76" s="11" t="str">
        <f>IF(J76="","Assessment Pending",MAX(0,I76-J76))</f>
        <v>Assessment Pending</v>
      </c>
      <c r="L76" s="13"/>
      <c r="M76" s="13" t="s">
        <v>1018</v>
      </c>
      <c r="N76" s="13" t="s">
        <v>2176</v>
      </c>
      <c r="O76" s="13"/>
    </row>
    <row r="77" spans="1:15" ht="45" customHeight="1">
      <c r="A77" s="14" t="s">
        <v>2229</v>
      </c>
      <c r="B77" s="14" t="s">
        <v>318</v>
      </c>
      <c r="C77" s="14" t="s">
        <v>1620</v>
      </c>
      <c r="D77" s="14" t="s">
        <v>471</v>
      </c>
      <c r="E77" s="14" t="s">
        <v>1613</v>
      </c>
      <c r="F77" s="14" t="s">
        <v>842</v>
      </c>
      <c r="G77" s="14" t="s">
        <v>843</v>
      </c>
      <c r="H77" s="14"/>
      <c r="I77" s="14">
        <v>4</v>
      </c>
      <c r="J77" s="14"/>
      <c r="K77" s="12" t="str">
        <f>IF(J77="","Assessment Pending",MAX(0,I77-J77))</f>
        <v>Assessment Pending</v>
      </c>
      <c r="L77" s="14"/>
      <c r="M77" s="14" t="s">
        <v>1020</v>
      </c>
      <c r="N77" s="14" t="s">
        <v>2176</v>
      </c>
      <c r="O77" s="14"/>
    </row>
    <row r="78" spans="1:15" ht="45" customHeight="1">
      <c r="A78" s="13" t="s">
        <v>2230</v>
      </c>
      <c r="B78" s="13" t="s">
        <v>318</v>
      </c>
      <c r="C78" s="13" t="s">
        <v>1620</v>
      </c>
      <c r="D78" s="13" t="s">
        <v>471</v>
      </c>
      <c r="E78" s="13" t="s">
        <v>1613</v>
      </c>
      <c r="F78" s="13" t="s">
        <v>881</v>
      </c>
      <c r="G78" s="13" t="s">
        <v>629</v>
      </c>
      <c r="H78" s="13"/>
      <c r="I78" s="13">
        <v>3</v>
      </c>
      <c r="J78" s="13"/>
      <c r="K78" s="11" t="str">
        <f>IF(J78="","Assessment Pending",MAX(0,I78-J78))</f>
        <v>Assessment Pending</v>
      </c>
      <c r="L78" s="13"/>
      <c r="M78" s="13" t="s">
        <v>1012</v>
      </c>
      <c r="N78" s="13" t="s">
        <v>2176</v>
      </c>
      <c r="O78" s="13"/>
    </row>
    <row r="79" spans="1:15" ht="45" customHeight="1">
      <c r="A79" s="14" t="s">
        <v>2231</v>
      </c>
      <c r="B79" s="14" t="s">
        <v>318</v>
      </c>
      <c r="C79" s="14" t="s">
        <v>1620</v>
      </c>
      <c r="D79" s="14" t="s">
        <v>471</v>
      </c>
      <c r="E79" s="14" t="s">
        <v>1613</v>
      </c>
      <c r="F79" s="14" t="s">
        <v>848</v>
      </c>
      <c r="G79" s="14" t="s">
        <v>849</v>
      </c>
      <c r="H79" s="14"/>
      <c r="I79" s="14">
        <v>4</v>
      </c>
      <c r="J79" s="14"/>
      <c r="K79" s="12" t="str">
        <f>IF(J79="","Assessment Pending",MAX(0,I79-J79))</f>
        <v>Assessment Pending</v>
      </c>
      <c r="L79" s="14"/>
      <c r="M79" s="14" t="s">
        <v>1024</v>
      </c>
      <c r="N79" s="14" t="s">
        <v>2176</v>
      </c>
      <c r="O79" s="14"/>
    </row>
    <row r="80" spans="1:15" ht="45" customHeight="1">
      <c r="A80" s="13" t="s">
        <v>2232</v>
      </c>
      <c r="B80" s="13" t="s">
        <v>318</v>
      </c>
      <c r="C80" s="13" t="s">
        <v>1620</v>
      </c>
      <c r="D80" s="13" t="s">
        <v>471</v>
      </c>
      <c r="E80" s="13" t="s">
        <v>1613</v>
      </c>
      <c r="F80" s="13" t="s">
        <v>851</v>
      </c>
      <c r="G80" s="13" t="s">
        <v>852</v>
      </c>
      <c r="H80" s="13"/>
      <c r="I80" s="13">
        <v>4</v>
      </c>
      <c r="J80" s="13"/>
      <c r="K80" s="11" t="str">
        <f>IF(J80="","Assessment Pending",MAX(0,I80-J80))</f>
        <v>Assessment Pending</v>
      </c>
      <c r="L80" s="13"/>
      <c r="M80" s="13" t="s">
        <v>1014</v>
      </c>
      <c r="N80" s="13" t="s">
        <v>2176</v>
      </c>
      <c r="O80" s="13"/>
    </row>
    <row r="81" spans="1:15" ht="45" customHeight="1">
      <c r="A81" s="14" t="s">
        <v>2233</v>
      </c>
      <c r="B81" s="14" t="s">
        <v>318</v>
      </c>
      <c r="C81" s="14" t="s">
        <v>1620</v>
      </c>
      <c r="D81" s="14" t="s">
        <v>471</v>
      </c>
      <c r="E81" s="14" t="s">
        <v>1613</v>
      </c>
      <c r="F81" s="14" t="s">
        <v>854</v>
      </c>
      <c r="G81" s="14" t="s">
        <v>855</v>
      </c>
      <c r="H81" s="14"/>
      <c r="I81" s="14">
        <v>4</v>
      </c>
      <c r="J81" s="14"/>
      <c r="K81" s="12" t="str">
        <f>IF(J81="","Assessment Pending",MAX(0,I81-J81))</f>
        <v>Assessment Pending</v>
      </c>
      <c r="L81" s="14"/>
      <c r="M81" s="14" t="s">
        <v>1004</v>
      </c>
      <c r="N81" s="14" t="s">
        <v>2176</v>
      </c>
      <c r="O81" s="14"/>
    </row>
    <row r="82" spans="1:15" ht="45" customHeight="1">
      <c r="A82" s="13" t="s">
        <v>2234</v>
      </c>
      <c r="B82" s="13" t="s">
        <v>318</v>
      </c>
      <c r="C82" s="13" t="s">
        <v>1620</v>
      </c>
      <c r="D82" s="13" t="s">
        <v>471</v>
      </c>
      <c r="E82" s="13" t="s">
        <v>1613</v>
      </c>
      <c r="F82" s="13" t="s">
        <v>857</v>
      </c>
      <c r="G82" s="13" t="s">
        <v>858</v>
      </c>
      <c r="H82" s="13"/>
      <c r="I82" s="13">
        <v>4</v>
      </c>
      <c r="J82" s="13"/>
      <c r="K82" s="11" t="str">
        <f>IF(J82="","Assessment Pending",MAX(0,I82-J82))</f>
        <v>Assessment Pending</v>
      </c>
      <c r="L82" s="13"/>
      <c r="M82" s="13" t="s">
        <v>1016</v>
      </c>
      <c r="N82" s="13" t="s">
        <v>2176</v>
      </c>
      <c r="O82" s="13"/>
    </row>
    <row r="83" spans="1:15" ht="45" customHeight="1">
      <c r="A83" s="14" t="s">
        <v>2235</v>
      </c>
      <c r="B83" s="14" t="s">
        <v>318</v>
      </c>
      <c r="C83" s="14" t="s">
        <v>1620</v>
      </c>
      <c r="D83" s="14" t="s">
        <v>471</v>
      </c>
      <c r="E83" s="14" t="s">
        <v>1613</v>
      </c>
      <c r="F83" s="14" t="s">
        <v>860</v>
      </c>
      <c r="G83" s="14" t="s">
        <v>861</v>
      </c>
      <c r="H83" s="14"/>
      <c r="I83" s="14">
        <v>4</v>
      </c>
      <c r="J83" s="14"/>
      <c r="K83" s="12" t="str">
        <f>IF(J83="","Assessment Pending",MAX(0,I83-J83))</f>
        <v>Assessment Pending</v>
      </c>
      <c r="L83" s="14"/>
      <c r="M83" s="14" t="s">
        <v>1022</v>
      </c>
      <c r="N83" s="14" t="s">
        <v>2176</v>
      </c>
      <c r="O83" s="14"/>
    </row>
    <row r="84" spans="1:15" ht="45" customHeight="1">
      <c r="A84" s="13" t="s">
        <v>2236</v>
      </c>
      <c r="B84" s="13" t="s">
        <v>318</v>
      </c>
      <c r="C84" s="13" t="s">
        <v>1622</v>
      </c>
      <c r="D84" s="13" t="s">
        <v>475</v>
      </c>
      <c r="E84" s="13" t="s">
        <v>1624</v>
      </c>
      <c r="F84" s="13" t="s">
        <v>833</v>
      </c>
      <c r="G84" s="13" t="s">
        <v>834</v>
      </c>
      <c r="H84" s="13"/>
      <c r="I84" s="13">
        <v>3</v>
      </c>
      <c r="J84" s="13">
        <v>2</v>
      </c>
      <c r="K84" s="11">
        <f>IF(J84="","Assessment Pending",MAX(0,I84-J84))</f>
        <v>1</v>
      </c>
      <c r="L84" s="13" t="s">
        <v>2157</v>
      </c>
      <c r="M84" s="13" t="s">
        <v>1008</v>
      </c>
      <c r="N84" s="13" t="s">
        <v>2154</v>
      </c>
      <c r="O84" s="13"/>
    </row>
    <row r="85" spans="1:15" ht="45" customHeight="1">
      <c r="A85" s="14" t="s">
        <v>2237</v>
      </c>
      <c r="B85" s="14" t="s">
        <v>318</v>
      </c>
      <c r="C85" s="14" t="s">
        <v>1622</v>
      </c>
      <c r="D85" s="14" t="s">
        <v>475</v>
      </c>
      <c r="E85" s="14" t="s">
        <v>1624</v>
      </c>
      <c r="F85" s="14" t="s">
        <v>836</v>
      </c>
      <c r="G85" s="14" t="s">
        <v>837</v>
      </c>
      <c r="H85" s="14"/>
      <c r="I85" s="14">
        <v>4</v>
      </c>
      <c r="J85" s="14">
        <v>2</v>
      </c>
      <c r="K85" s="12">
        <f>IF(J85="","Assessment Pending",MAX(0,I85-J85))</f>
        <v>2</v>
      </c>
      <c r="L85" s="14" t="s">
        <v>899</v>
      </c>
      <c r="M85" s="14" t="s">
        <v>965</v>
      </c>
      <c r="N85" s="14" t="s">
        <v>2154</v>
      </c>
      <c r="O85" s="14" t="s">
        <v>2155</v>
      </c>
    </row>
    <row r="86" spans="1:15" ht="45" customHeight="1">
      <c r="A86" s="13" t="s">
        <v>2238</v>
      </c>
      <c r="B86" s="13" t="s">
        <v>318</v>
      </c>
      <c r="C86" s="13" t="s">
        <v>1622</v>
      </c>
      <c r="D86" s="13" t="s">
        <v>475</v>
      </c>
      <c r="E86" s="13" t="s">
        <v>1624</v>
      </c>
      <c r="F86" s="13" t="s">
        <v>842</v>
      </c>
      <c r="G86" s="13" t="s">
        <v>843</v>
      </c>
      <c r="H86" s="13"/>
      <c r="I86" s="13">
        <v>4</v>
      </c>
      <c r="J86" s="13">
        <v>2</v>
      </c>
      <c r="K86" s="11">
        <f>IF(J86="","Assessment Pending",MAX(0,I86-J86))</f>
        <v>2</v>
      </c>
      <c r="L86" s="13" t="s">
        <v>899</v>
      </c>
      <c r="M86" s="13" t="s">
        <v>1020</v>
      </c>
      <c r="N86" s="13" t="s">
        <v>2154</v>
      </c>
      <c r="O86" s="13"/>
    </row>
    <row r="87" spans="1:15" ht="45" customHeight="1">
      <c r="A87" s="14" t="s">
        <v>2239</v>
      </c>
      <c r="B87" s="14" t="s">
        <v>318</v>
      </c>
      <c r="C87" s="14" t="s">
        <v>1622</v>
      </c>
      <c r="D87" s="14" t="s">
        <v>475</v>
      </c>
      <c r="E87" s="14" t="s">
        <v>1624</v>
      </c>
      <c r="F87" s="14" t="s">
        <v>866</v>
      </c>
      <c r="G87" s="14" t="s">
        <v>867</v>
      </c>
      <c r="H87" s="14"/>
      <c r="I87" s="14">
        <v>4</v>
      </c>
      <c r="J87" s="14">
        <v>2</v>
      </c>
      <c r="K87" s="12">
        <f>IF(J87="","Assessment Pending",MAX(0,I87-J87))</f>
        <v>2</v>
      </c>
      <c r="L87" s="14" t="s">
        <v>899</v>
      </c>
      <c r="M87" s="14" t="s">
        <v>1006</v>
      </c>
      <c r="N87" s="14" t="s">
        <v>2154</v>
      </c>
      <c r="O87" s="14"/>
    </row>
    <row r="88" spans="1:15" ht="45" customHeight="1">
      <c r="A88" s="13" t="s">
        <v>2240</v>
      </c>
      <c r="B88" s="13" t="s">
        <v>318</v>
      </c>
      <c r="C88" s="13" t="s">
        <v>1622</v>
      </c>
      <c r="D88" s="13" t="s">
        <v>475</v>
      </c>
      <c r="E88" s="13" t="s">
        <v>1624</v>
      </c>
      <c r="F88" s="13" t="s">
        <v>869</v>
      </c>
      <c r="G88" s="13" t="s">
        <v>870</v>
      </c>
      <c r="H88" s="13"/>
      <c r="I88" s="13">
        <v>4</v>
      </c>
      <c r="J88" s="13">
        <v>2</v>
      </c>
      <c r="K88" s="11">
        <f>IF(J88="","Assessment Pending",MAX(0,I88-J88))</f>
        <v>2</v>
      </c>
      <c r="L88" s="13" t="s">
        <v>899</v>
      </c>
      <c r="M88" s="13" t="s">
        <v>1002</v>
      </c>
      <c r="N88" s="13" t="s">
        <v>2154</v>
      </c>
      <c r="O88" s="13"/>
    </row>
    <row r="89" spans="1:15" ht="45" customHeight="1">
      <c r="A89" s="14" t="s">
        <v>2241</v>
      </c>
      <c r="B89" s="14" t="s">
        <v>318</v>
      </c>
      <c r="C89" s="14" t="s">
        <v>1622</v>
      </c>
      <c r="D89" s="14" t="s">
        <v>475</v>
      </c>
      <c r="E89" s="14" t="s">
        <v>1624</v>
      </c>
      <c r="F89" s="14" t="s">
        <v>848</v>
      </c>
      <c r="G89" s="14" t="s">
        <v>849</v>
      </c>
      <c r="H89" s="14"/>
      <c r="I89" s="14">
        <v>4</v>
      </c>
      <c r="J89" s="14">
        <v>2</v>
      </c>
      <c r="K89" s="12">
        <f>IF(J89="","Assessment Pending",MAX(0,I89-J89))</f>
        <v>2</v>
      </c>
      <c r="L89" s="14" t="s">
        <v>899</v>
      </c>
      <c r="M89" s="14" t="s">
        <v>1024</v>
      </c>
      <c r="N89" s="14" t="s">
        <v>2154</v>
      </c>
      <c r="O89" s="14"/>
    </row>
    <row r="90" spans="1:15" ht="45" customHeight="1">
      <c r="A90" s="13" t="s">
        <v>2242</v>
      </c>
      <c r="B90" s="13" t="s">
        <v>318</v>
      </c>
      <c r="C90" s="13" t="s">
        <v>1622</v>
      </c>
      <c r="D90" s="13" t="s">
        <v>475</v>
      </c>
      <c r="E90" s="13" t="s">
        <v>1624</v>
      </c>
      <c r="F90" s="13" t="s">
        <v>851</v>
      </c>
      <c r="G90" s="13" t="s">
        <v>852</v>
      </c>
      <c r="H90" s="13"/>
      <c r="I90" s="13">
        <v>4</v>
      </c>
      <c r="J90" s="13">
        <v>2</v>
      </c>
      <c r="K90" s="11">
        <f>IF(J90="","Assessment Pending",MAX(0,I90-J90))</f>
        <v>2</v>
      </c>
      <c r="L90" s="13" t="s">
        <v>899</v>
      </c>
      <c r="M90" s="13" t="s">
        <v>1014</v>
      </c>
      <c r="N90" s="13" t="s">
        <v>2154</v>
      </c>
      <c r="O90" s="13"/>
    </row>
    <row r="91" spans="1:15" ht="45" customHeight="1">
      <c r="A91" s="14" t="s">
        <v>2243</v>
      </c>
      <c r="B91" s="14" t="s">
        <v>318</v>
      </c>
      <c r="C91" s="14" t="s">
        <v>1622</v>
      </c>
      <c r="D91" s="14" t="s">
        <v>475</v>
      </c>
      <c r="E91" s="14" t="s">
        <v>1624</v>
      </c>
      <c r="F91" s="14" t="s">
        <v>854</v>
      </c>
      <c r="G91" s="14" t="s">
        <v>855</v>
      </c>
      <c r="H91" s="14"/>
      <c r="I91" s="14">
        <v>4</v>
      </c>
      <c r="J91" s="14">
        <v>2</v>
      </c>
      <c r="K91" s="12">
        <f>IF(J91="","Assessment Pending",MAX(0,I91-J91))</f>
        <v>2</v>
      </c>
      <c r="L91" s="14" t="s">
        <v>899</v>
      </c>
      <c r="M91" s="14" t="s">
        <v>1004</v>
      </c>
      <c r="N91" s="14" t="s">
        <v>2154</v>
      </c>
      <c r="O91" s="14"/>
    </row>
    <row r="92" spans="1:15" ht="45" customHeight="1">
      <c r="A92" s="13" t="s">
        <v>2244</v>
      </c>
      <c r="B92" s="13" t="s">
        <v>318</v>
      </c>
      <c r="C92" s="13" t="s">
        <v>1622</v>
      </c>
      <c r="D92" s="13" t="s">
        <v>475</v>
      </c>
      <c r="E92" s="13" t="s">
        <v>1624</v>
      </c>
      <c r="F92" s="13" t="s">
        <v>857</v>
      </c>
      <c r="G92" s="13" t="s">
        <v>858</v>
      </c>
      <c r="H92" s="13"/>
      <c r="I92" s="13">
        <v>4</v>
      </c>
      <c r="J92" s="13">
        <v>2</v>
      </c>
      <c r="K92" s="11">
        <f>IF(J92="","Assessment Pending",MAX(0,I92-J92))</f>
        <v>2</v>
      </c>
      <c r="L92" s="13" t="s">
        <v>899</v>
      </c>
      <c r="M92" s="13" t="s">
        <v>1016</v>
      </c>
      <c r="N92" s="13" t="s">
        <v>2154</v>
      </c>
      <c r="O92" s="13"/>
    </row>
    <row r="93" spans="1:15" ht="45" customHeight="1">
      <c r="A93" s="14" t="s">
        <v>2245</v>
      </c>
      <c r="B93" s="14" t="s">
        <v>318</v>
      </c>
      <c r="C93" s="14" t="s">
        <v>1622</v>
      </c>
      <c r="D93" s="14" t="s">
        <v>475</v>
      </c>
      <c r="E93" s="14" t="s">
        <v>1624</v>
      </c>
      <c r="F93" s="14" t="s">
        <v>860</v>
      </c>
      <c r="G93" s="14" t="s">
        <v>861</v>
      </c>
      <c r="H93" s="14"/>
      <c r="I93" s="14">
        <v>4</v>
      </c>
      <c r="J93" s="14">
        <v>2</v>
      </c>
      <c r="K93" s="12">
        <f>IF(J93="","Assessment Pending",MAX(0,I93-J93))</f>
        <v>2</v>
      </c>
      <c r="L93" s="14" t="s">
        <v>899</v>
      </c>
      <c r="M93" s="14" t="s">
        <v>1022</v>
      </c>
      <c r="N93" s="14" t="s">
        <v>2154</v>
      </c>
      <c r="O93" s="14"/>
    </row>
    <row r="94" spans="1:15" ht="45" customHeight="1">
      <c r="A94" s="13" t="s">
        <v>2246</v>
      </c>
      <c r="B94" s="13" t="s">
        <v>318</v>
      </c>
      <c r="C94" s="13" t="s">
        <v>1627</v>
      </c>
      <c r="D94" s="13" t="s">
        <v>475</v>
      </c>
      <c r="E94" s="13" t="s">
        <v>1624</v>
      </c>
      <c r="F94" s="13" t="s">
        <v>833</v>
      </c>
      <c r="G94" s="13" t="s">
        <v>834</v>
      </c>
      <c r="H94" s="13"/>
      <c r="I94" s="13">
        <v>3</v>
      </c>
      <c r="J94" s="13"/>
      <c r="K94" s="11" t="str">
        <f>IF(J94="","Assessment Pending",MAX(0,I94-J94))</f>
        <v>Assessment Pending</v>
      </c>
      <c r="L94" s="13"/>
      <c r="M94" s="13" t="s">
        <v>1008</v>
      </c>
      <c r="N94" s="13" t="s">
        <v>2176</v>
      </c>
      <c r="O94" s="13"/>
    </row>
    <row r="95" spans="1:15" ht="45" customHeight="1">
      <c r="A95" s="14" t="s">
        <v>2247</v>
      </c>
      <c r="B95" s="14" t="s">
        <v>318</v>
      </c>
      <c r="C95" s="14" t="s">
        <v>1627</v>
      </c>
      <c r="D95" s="14" t="s">
        <v>475</v>
      </c>
      <c r="E95" s="14" t="s">
        <v>1624</v>
      </c>
      <c r="F95" s="14" t="s">
        <v>836</v>
      </c>
      <c r="G95" s="14" t="s">
        <v>837</v>
      </c>
      <c r="H95" s="14"/>
      <c r="I95" s="14">
        <v>4</v>
      </c>
      <c r="J95" s="14"/>
      <c r="K95" s="12" t="str">
        <f>IF(J95="","Assessment Pending",MAX(0,I95-J95))</f>
        <v>Assessment Pending</v>
      </c>
      <c r="L95" s="14"/>
      <c r="M95" s="14" t="s">
        <v>965</v>
      </c>
      <c r="N95" s="14" t="s">
        <v>2176</v>
      </c>
      <c r="O95" s="14" t="s">
        <v>2155</v>
      </c>
    </row>
    <row r="96" spans="1:15" ht="45" customHeight="1">
      <c r="A96" s="13" t="s">
        <v>2248</v>
      </c>
      <c r="B96" s="13" t="s">
        <v>318</v>
      </c>
      <c r="C96" s="13" t="s">
        <v>1627</v>
      </c>
      <c r="D96" s="13" t="s">
        <v>475</v>
      </c>
      <c r="E96" s="13" t="s">
        <v>1624</v>
      </c>
      <c r="F96" s="13" t="s">
        <v>842</v>
      </c>
      <c r="G96" s="13" t="s">
        <v>843</v>
      </c>
      <c r="H96" s="13"/>
      <c r="I96" s="13">
        <v>4</v>
      </c>
      <c r="J96" s="13"/>
      <c r="K96" s="11" t="str">
        <f>IF(J96="","Assessment Pending",MAX(0,I96-J96))</f>
        <v>Assessment Pending</v>
      </c>
      <c r="L96" s="13"/>
      <c r="M96" s="13" t="s">
        <v>1020</v>
      </c>
      <c r="N96" s="13" t="s">
        <v>2176</v>
      </c>
      <c r="O96" s="13"/>
    </row>
    <row r="97" spans="1:15" ht="45" customHeight="1">
      <c r="A97" s="14" t="s">
        <v>2249</v>
      </c>
      <c r="B97" s="14" t="s">
        <v>318</v>
      </c>
      <c r="C97" s="14" t="s">
        <v>1627</v>
      </c>
      <c r="D97" s="14" t="s">
        <v>475</v>
      </c>
      <c r="E97" s="14" t="s">
        <v>1624</v>
      </c>
      <c r="F97" s="14" t="s">
        <v>866</v>
      </c>
      <c r="G97" s="14" t="s">
        <v>867</v>
      </c>
      <c r="H97" s="14"/>
      <c r="I97" s="14">
        <v>4</v>
      </c>
      <c r="J97" s="14"/>
      <c r="K97" s="12" t="str">
        <f>IF(J97="","Assessment Pending",MAX(0,I97-J97))</f>
        <v>Assessment Pending</v>
      </c>
      <c r="L97" s="14"/>
      <c r="M97" s="14" t="s">
        <v>1006</v>
      </c>
      <c r="N97" s="14" t="s">
        <v>2176</v>
      </c>
      <c r="O97" s="14"/>
    </row>
    <row r="98" spans="1:15" ht="45" customHeight="1">
      <c r="A98" s="13" t="s">
        <v>2250</v>
      </c>
      <c r="B98" s="13" t="s">
        <v>318</v>
      </c>
      <c r="C98" s="13" t="s">
        <v>1627</v>
      </c>
      <c r="D98" s="13" t="s">
        <v>475</v>
      </c>
      <c r="E98" s="13" t="s">
        <v>1624</v>
      </c>
      <c r="F98" s="13" t="s">
        <v>869</v>
      </c>
      <c r="G98" s="13" t="s">
        <v>870</v>
      </c>
      <c r="H98" s="13"/>
      <c r="I98" s="13">
        <v>4</v>
      </c>
      <c r="J98" s="13"/>
      <c r="K98" s="11" t="str">
        <f>IF(J98="","Assessment Pending",MAX(0,I98-J98))</f>
        <v>Assessment Pending</v>
      </c>
      <c r="L98" s="13"/>
      <c r="M98" s="13" t="s">
        <v>1002</v>
      </c>
      <c r="N98" s="13" t="s">
        <v>2176</v>
      </c>
      <c r="O98" s="13"/>
    </row>
    <row r="99" spans="1:15" ht="45" customHeight="1">
      <c r="A99" s="14" t="s">
        <v>2251</v>
      </c>
      <c r="B99" s="14" t="s">
        <v>318</v>
      </c>
      <c r="C99" s="14" t="s">
        <v>1627</v>
      </c>
      <c r="D99" s="14" t="s">
        <v>475</v>
      </c>
      <c r="E99" s="14" t="s">
        <v>1624</v>
      </c>
      <c r="F99" s="14" t="s">
        <v>848</v>
      </c>
      <c r="G99" s="14" t="s">
        <v>849</v>
      </c>
      <c r="H99" s="14"/>
      <c r="I99" s="14">
        <v>4</v>
      </c>
      <c r="J99" s="14"/>
      <c r="K99" s="12" t="str">
        <f>IF(J99="","Assessment Pending",MAX(0,I99-J99))</f>
        <v>Assessment Pending</v>
      </c>
      <c r="L99" s="14"/>
      <c r="M99" s="14" t="s">
        <v>1024</v>
      </c>
      <c r="N99" s="14" t="s">
        <v>2176</v>
      </c>
      <c r="O99" s="14"/>
    </row>
    <row r="100" spans="1:15" ht="45" customHeight="1">
      <c r="A100" s="13" t="s">
        <v>2252</v>
      </c>
      <c r="B100" s="13" t="s">
        <v>318</v>
      </c>
      <c r="C100" s="13" t="s">
        <v>1627</v>
      </c>
      <c r="D100" s="13" t="s">
        <v>475</v>
      </c>
      <c r="E100" s="13" t="s">
        <v>1624</v>
      </c>
      <c r="F100" s="13" t="s">
        <v>851</v>
      </c>
      <c r="G100" s="13" t="s">
        <v>852</v>
      </c>
      <c r="H100" s="13"/>
      <c r="I100" s="13">
        <v>4</v>
      </c>
      <c r="J100" s="13"/>
      <c r="K100" s="11" t="str">
        <f>IF(J100="","Assessment Pending",MAX(0,I100-J100))</f>
        <v>Assessment Pending</v>
      </c>
      <c r="L100" s="13"/>
      <c r="M100" s="13" t="s">
        <v>1014</v>
      </c>
      <c r="N100" s="13" t="s">
        <v>2176</v>
      </c>
      <c r="O100" s="13"/>
    </row>
    <row r="101" spans="1:15" ht="45" customHeight="1">
      <c r="A101" s="14" t="s">
        <v>2253</v>
      </c>
      <c r="B101" s="14" t="s">
        <v>318</v>
      </c>
      <c r="C101" s="14" t="s">
        <v>1627</v>
      </c>
      <c r="D101" s="14" t="s">
        <v>475</v>
      </c>
      <c r="E101" s="14" t="s">
        <v>1624</v>
      </c>
      <c r="F101" s="14" t="s">
        <v>854</v>
      </c>
      <c r="G101" s="14" t="s">
        <v>855</v>
      </c>
      <c r="H101" s="14"/>
      <c r="I101" s="14">
        <v>4</v>
      </c>
      <c r="J101" s="14"/>
      <c r="K101" s="12" t="str">
        <f>IF(J101="","Assessment Pending",MAX(0,I101-J101))</f>
        <v>Assessment Pending</v>
      </c>
      <c r="L101" s="14"/>
      <c r="M101" s="14" t="s">
        <v>1004</v>
      </c>
      <c r="N101" s="14" t="s">
        <v>2176</v>
      </c>
      <c r="O101" s="14"/>
    </row>
    <row r="102" spans="1:15" ht="45" customHeight="1">
      <c r="A102" s="13" t="s">
        <v>2254</v>
      </c>
      <c r="B102" s="13" t="s">
        <v>318</v>
      </c>
      <c r="C102" s="13" t="s">
        <v>1627</v>
      </c>
      <c r="D102" s="13" t="s">
        <v>475</v>
      </c>
      <c r="E102" s="13" t="s">
        <v>1624</v>
      </c>
      <c r="F102" s="13" t="s">
        <v>857</v>
      </c>
      <c r="G102" s="13" t="s">
        <v>858</v>
      </c>
      <c r="H102" s="13"/>
      <c r="I102" s="13">
        <v>4</v>
      </c>
      <c r="J102" s="13"/>
      <c r="K102" s="11" t="str">
        <f>IF(J102="","Assessment Pending",MAX(0,I102-J102))</f>
        <v>Assessment Pending</v>
      </c>
      <c r="L102" s="13"/>
      <c r="M102" s="13" t="s">
        <v>1016</v>
      </c>
      <c r="N102" s="13" t="s">
        <v>2176</v>
      </c>
      <c r="O102" s="13"/>
    </row>
    <row r="103" spans="1:15" ht="45" customHeight="1">
      <c r="A103" s="14" t="s">
        <v>2255</v>
      </c>
      <c r="B103" s="14" t="s">
        <v>318</v>
      </c>
      <c r="C103" s="14" t="s">
        <v>1627</v>
      </c>
      <c r="D103" s="14" t="s">
        <v>475</v>
      </c>
      <c r="E103" s="14" t="s">
        <v>1624</v>
      </c>
      <c r="F103" s="14" t="s">
        <v>860</v>
      </c>
      <c r="G103" s="14" t="s">
        <v>861</v>
      </c>
      <c r="H103" s="14"/>
      <c r="I103" s="14">
        <v>4</v>
      </c>
      <c r="J103" s="14"/>
      <c r="K103" s="12" t="str">
        <f>IF(J103="","Assessment Pending",MAX(0,I103-J103))</f>
        <v>Assessment Pending</v>
      </c>
      <c r="L103" s="14"/>
      <c r="M103" s="14" t="s">
        <v>1022</v>
      </c>
      <c r="N103" s="14" t="s">
        <v>2176</v>
      </c>
      <c r="O103" s="14"/>
    </row>
    <row r="104" spans="1:15" ht="45" customHeight="1">
      <c r="A104" s="13" t="s">
        <v>2256</v>
      </c>
      <c r="B104" s="13" t="s">
        <v>318</v>
      </c>
      <c r="C104" s="13" t="s">
        <v>1629</v>
      </c>
      <c r="D104" s="13" t="s">
        <v>475</v>
      </c>
      <c r="E104" s="13" t="s">
        <v>1624</v>
      </c>
      <c r="F104" s="13" t="s">
        <v>833</v>
      </c>
      <c r="G104" s="13" t="s">
        <v>834</v>
      </c>
      <c r="H104" s="13"/>
      <c r="I104" s="13">
        <v>3</v>
      </c>
      <c r="J104" s="13"/>
      <c r="K104" s="11" t="str">
        <f>IF(J104="","Assessment Pending",MAX(0,I104-J104))</f>
        <v>Assessment Pending</v>
      </c>
      <c r="L104" s="13"/>
      <c r="M104" s="13" t="s">
        <v>1008</v>
      </c>
      <c r="N104" s="13" t="s">
        <v>2176</v>
      </c>
      <c r="O104" s="13"/>
    </row>
    <row r="105" spans="1:15" ht="45" customHeight="1">
      <c r="A105" s="14" t="s">
        <v>2257</v>
      </c>
      <c r="B105" s="14" t="s">
        <v>318</v>
      </c>
      <c r="C105" s="14" t="s">
        <v>1629</v>
      </c>
      <c r="D105" s="14" t="s">
        <v>475</v>
      </c>
      <c r="E105" s="14" t="s">
        <v>1624</v>
      </c>
      <c r="F105" s="14" t="s">
        <v>836</v>
      </c>
      <c r="G105" s="14" t="s">
        <v>837</v>
      </c>
      <c r="H105" s="14"/>
      <c r="I105" s="14">
        <v>4</v>
      </c>
      <c r="J105" s="14"/>
      <c r="K105" s="12" t="str">
        <f>IF(J105="","Assessment Pending",MAX(0,I105-J105))</f>
        <v>Assessment Pending</v>
      </c>
      <c r="L105" s="14"/>
      <c r="M105" s="14" t="s">
        <v>965</v>
      </c>
      <c r="N105" s="14" t="s">
        <v>2176</v>
      </c>
      <c r="O105" s="14" t="s">
        <v>2155</v>
      </c>
    </row>
    <row r="106" spans="1:15" ht="45" customHeight="1">
      <c r="A106" s="13" t="s">
        <v>2258</v>
      </c>
      <c r="B106" s="13" t="s">
        <v>318</v>
      </c>
      <c r="C106" s="13" t="s">
        <v>1629</v>
      </c>
      <c r="D106" s="13" t="s">
        <v>475</v>
      </c>
      <c r="E106" s="13" t="s">
        <v>1624</v>
      </c>
      <c r="F106" s="13" t="s">
        <v>842</v>
      </c>
      <c r="G106" s="13" t="s">
        <v>843</v>
      </c>
      <c r="H106" s="13"/>
      <c r="I106" s="13">
        <v>4</v>
      </c>
      <c r="J106" s="13"/>
      <c r="K106" s="11" t="str">
        <f>IF(J106="","Assessment Pending",MAX(0,I106-J106))</f>
        <v>Assessment Pending</v>
      </c>
      <c r="L106" s="13"/>
      <c r="M106" s="13" t="s">
        <v>1020</v>
      </c>
      <c r="N106" s="13" t="s">
        <v>2176</v>
      </c>
      <c r="O106" s="13"/>
    </row>
    <row r="107" spans="1:15" ht="45" customHeight="1">
      <c r="A107" s="14" t="s">
        <v>2259</v>
      </c>
      <c r="B107" s="14" t="s">
        <v>318</v>
      </c>
      <c r="C107" s="14" t="s">
        <v>1629</v>
      </c>
      <c r="D107" s="14" t="s">
        <v>475</v>
      </c>
      <c r="E107" s="14" t="s">
        <v>1624</v>
      </c>
      <c r="F107" s="14" t="s">
        <v>866</v>
      </c>
      <c r="G107" s="14" t="s">
        <v>867</v>
      </c>
      <c r="H107" s="14"/>
      <c r="I107" s="14">
        <v>4</v>
      </c>
      <c r="J107" s="14"/>
      <c r="K107" s="12" t="str">
        <f>IF(J107="","Assessment Pending",MAX(0,I107-J107))</f>
        <v>Assessment Pending</v>
      </c>
      <c r="L107" s="14"/>
      <c r="M107" s="14" t="s">
        <v>1006</v>
      </c>
      <c r="N107" s="14" t="s">
        <v>2176</v>
      </c>
      <c r="O107" s="14"/>
    </row>
    <row r="108" spans="1:15" ht="45" customHeight="1">
      <c r="A108" s="13" t="s">
        <v>2260</v>
      </c>
      <c r="B108" s="13" t="s">
        <v>318</v>
      </c>
      <c r="C108" s="13" t="s">
        <v>1629</v>
      </c>
      <c r="D108" s="13" t="s">
        <v>475</v>
      </c>
      <c r="E108" s="13" t="s">
        <v>1624</v>
      </c>
      <c r="F108" s="13" t="s">
        <v>869</v>
      </c>
      <c r="G108" s="13" t="s">
        <v>870</v>
      </c>
      <c r="H108" s="13"/>
      <c r="I108" s="13">
        <v>4</v>
      </c>
      <c r="J108" s="13"/>
      <c r="K108" s="11" t="str">
        <f>IF(J108="","Assessment Pending",MAX(0,I108-J108))</f>
        <v>Assessment Pending</v>
      </c>
      <c r="L108" s="13"/>
      <c r="M108" s="13" t="s">
        <v>1002</v>
      </c>
      <c r="N108" s="13" t="s">
        <v>2176</v>
      </c>
      <c r="O108" s="13"/>
    </row>
    <row r="109" spans="1:15" ht="45" customHeight="1">
      <c r="A109" s="14" t="s">
        <v>2261</v>
      </c>
      <c r="B109" s="14" t="s">
        <v>318</v>
      </c>
      <c r="C109" s="14" t="s">
        <v>1629</v>
      </c>
      <c r="D109" s="14" t="s">
        <v>475</v>
      </c>
      <c r="E109" s="14" t="s">
        <v>1624</v>
      </c>
      <c r="F109" s="14" t="s">
        <v>848</v>
      </c>
      <c r="G109" s="14" t="s">
        <v>849</v>
      </c>
      <c r="H109" s="14"/>
      <c r="I109" s="14">
        <v>4</v>
      </c>
      <c r="J109" s="14"/>
      <c r="K109" s="12" t="str">
        <f>IF(J109="","Assessment Pending",MAX(0,I109-J109))</f>
        <v>Assessment Pending</v>
      </c>
      <c r="L109" s="14"/>
      <c r="M109" s="14" t="s">
        <v>1024</v>
      </c>
      <c r="N109" s="14" t="s">
        <v>2176</v>
      </c>
      <c r="O109" s="14"/>
    </row>
    <row r="110" spans="1:15" ht="45" customHeight="1">
      <c r="A110" s="13" t="s">
        <v>2262</v>
      </c>
      <c r="B110" s="13" t="s">
        <v>318</v>
      </c>
      <c r="C110" s="13" t="s">
        <v>1629</v>
      </c>
      <c r="D110" s="13" t="s">
        <v>475</v>
      </c>
      <c r="E110" s="13" t="s">
        <v>1624</v>
      </c>
      <c r="F110" s="13" t="s">
        <v>851</v>
      </c>
      <c r="G110" s="13" t="s">
        <v>852</v>
      </c>
      <c r="H110" s="13"/>
      <c r="I110" s="13">
        <v>4</v>
      </c>
      <c r="J110" s="13"/>
      <c r="K110" s="11" t="str">
        <f>IF(J110="","Assessment Pending",MAX(0,I110-J110))</f>
        <v>Assessment Pending</v>
      </c>
      <c r="L110" s="13"/>
      <c r="M110" s="13" t="s">
        <v>1014</v>
      </c>
      <c r="N110" s="13" t="s">
        <v>2176</v>
      </c>
      <c r="O110" s="13"/>
    </row>
    <row r="111" spans="1:15" ht="45" customHeight="1">
      <c r="A111" s="14" t="s">
        <v>2263</v>
      </c>
      <c r="B111" s="14" t="s">
        <v>318</v>
      </c>
      <c r="C111" s="14" t="s">
        <v>1629</v>
      </c>
      <c r="D111" s="14" t="s">
        <v>475</v>
      </c>
      <c r="E111" s="14" t="s">
        <v>1624</v>
      </c>
      <c r="F111" s="14" t="s">
        <v>854</v>
      </c>
      <c r="G111" s="14" t="s">
        <v>855</v>
      </c>
      <c r="H111" s="14"/>
      <c r="I111" s="14">
        <v>4</v>
      </c>
      <c r="J111" s="14"/>
      <c r="K111" s="12" t="str">
        <f>IF(J111="","Assessment Pending",MAX(0,I111-J111))</f>
        <v>Assessment Pending</v>
      </c>
      <c r="L111" s="14"/>
      <c r="M111" s="14" t="s">
        <v>1004</v>
      </c>
      <c r="N111" s="14" t="s">
        <v>2176</v>
      </c>
      <c r="O111" s="14"/>
    </row>
    <row r="112" spans="1:15" ht="45" customHeight="1">
      <c r="A112" s="13" t="s">
        <v>2264</v>
      </c>
      <c r="B112" s="13" t="s">
        <v>318</v>
      </c>
      <c r="C112" s="13" t="s">
        <v>1629</v>
      </c>
      <c r="D112" s="13" t="s">
        <v>475</v>
      </c>
      <c r="E112" s="13" t="s">
        <v>1624</v>
      </c>
      <c r="F112" s="13" t="s">
        <v>857</v>
      </c>
      <c r="G112" s="13" t="s">
        <v>858</v>
      </c>
      <c r="H112" s="13"/>
      <c r="I112" s="13">
        <v>4</v>
      </c>
      <c r="J112" s="13"/>
      <c r="K112" s="11" t="str">
        <f>IF(J112="","Assessment Pending",MAX(0,I112-J112))</f>
        <v>Assessment Pending</v>
      </c>
      <c r="L112" s="13"/>
      <c r="M112" s="13" t="s">
        <v>1016</v>
      </c>
      <c r="N112" s="13" t="s">
        <v>2176</v>
      </c>
      <c r="O112" s="13"/>
    </row>
    <row r="113" spans="1:15" ht="45" customHeight="1">
      <c r="A113" s="14" t="s">
        <v>2265</v>
      </c>
      <c r="B113" s="14" t="s">
        <v>318</v>
      </c>
      <c r="C113" s="14" t="s">
        <v>1629</v>
      </c>
      <c r="D113" s="14" t="s">
        <v>475</v>
      </c>
      <c r="E113" s="14" t="s">
        <v>1624</v>
      </c>
      <c r="F113" s="14" t="s">
        <v>860</v>
      </c>
      <c r="G113" s="14" t="s">
        <v>861</v>
      </c>
      <c r="H113" s="14"/>
      <c r="I113" s="14">
        <v>4</v>
      </c>
      <c r="J113" s="14"/>
      <c r="K113" s="12" t="str">
        <f>IF(J113="","Assessment Pending",MAX(0,I113-J113))</f>
        <v>Assessment Pending</v>
      </c>
      <c r="L113" s="14"/>
      <c r="M113" s="14" t="s">
        <v>1022</v>
      </c>
      <c r="N113" s="14" t="s">
        <v>2176</v>
      </c>
      <c r="O113" s="14"/>
    </row>
    <row r="114" spans="1:15" ht="45" customHeight="1">
      <c r="A114" s="13" t="s">
        <v>2266</v>
      </c>
      <c r="B114" s="13" t="s">
        <v>318</v>
      </c>
      <c r="C114" s="13" t="s">
        <v>1631</v>
      </c>
      <c r="D114" s="13" t="s">
        <v>475</v>
      </c>
      <c r="E114" s="13" t="s">
        <v>1624</v>
      </c>
      <c r="F114" s="13" t="s">
        <v>833</v>
      </c>
      <c r="G114" s="13" t="s">
        <v>834</v>
      </c>
      <c r="H114" s="13"/>
      <c r="I114" s="13">
        <v>3</v>
      </c>
      <c r="J114" s="13">
        <v>2</v>
      </c>
      <c r="K114" s="11">
        <f>IF(J114="","Assessment Pending",MAX(0,I114-J114))</f>
        <v>1</v>
      </c>
      <c r="L114" s="13" t="s">
        <v>2157</v>
      </c>
      <c r="M114" s="13" t="s">
        <v>1008</v>
      </c>
      <c r="N114" s="13" t="s">
        <v>2154</v>
      </c>
      <c r="O114" s="13"/>
    </row>
    <row r="115" spans="1:15" ht="45" customHeight="1">
      <c r="A115" s="14" t="s">
        <v>2267</v>
      </c>
      <c r="B115" s="14" t="s">
        <v>318</v>
      </c>
      <c r="C115" s="14" t="s">
        <v>1631</v>
      </c>
      <c r="D115" s="14" t="s">
        <v>475</v>
      </c>
      <c r="E115" s="14" t="s">
        <v>1624</v>
      </c>
      <c r="F115" s="14" t="s">
        <v>836</v>
      </c>
      <c r="G115" s="14" t="s">
        <v>837</v>
      </c>
      <c r="H115" s="14"/>
      <c r="I115" s="14">
        <v>4</v>
      </c>
      <c r="J115" s="14">
        <v>1</v>
      </c>
      <c r="K115" s="12">
        <f>IF(J115="","Assessment Pending",MAX(0,I115-J115))</f>
        <v>3</v>
      </c>
      <c r="L115" s="14" t="s">
        <v>899</v>
      </c>
      <c r="M115" s="14" t="s">
        <v>965</v>
      </c>
      <c r="N115" s="14" t="s">
        <v>2154</v>
      </c>
      <c r="O115" s="14" t="s">
        <v>2155</v>
      </c>
    </row>
    <row r="116" spans="1:15" ht="45" customHeight="1">
      <c r="A116" s="13" t="s">
        <v>2268</v>
      </c>
      <c r="B116" s="13" t="s">
        <v>318</v>
      </c>
      <c r="C116" s="13" t="s">
        <v>1631</v>
      </c>
      <c r="D116" s="13" t="s">
        <v>475</v>
      </c>
      <c r="E116" s="13" t="s">
        <v>1624</v>
      </c>
      <c r="F116" s="13" t="s">
        <v>842</v>
      </c>
      <c r="G116" s="13" t="s">
        <v>843</v>
      </c>
      <c r="H116" s="13"/>
      <c r="I116" s="13">
        <v>4</v>
      </c>
      <c r="J116" s="13">
        <v>2</v>
      </c>
      <c r="K116" s="11">
        <f>IF(J116="","Assessment Pending",MAX(0,I116-J116))</f>
        <v>2</v>
      </c>
      <c r="L116" s="13" t="s">
        <v>899</v>
      </c>
      <c r="M116" s="13" t="s">
        <v>1020</v>
      </c>
      <c r="N116" s="13" t="s">
        <v>2154</v>
      </c>
      <c r="O116" s="13"/>
    </row>
    <row r="117" spans="1:15" ht="45" customHeight="1">
      <c r="A117" s="14" t="s">
        <v>2269</v>
      </c>
      <c r="B117" s="14" t="s">
        <v>318</v>
      </c>
      <c r="C117" s="14" t="s">
        <v>1631</v>
      </c>
      <c r="D117" s="14" t="s">
        <v>475</v>
      </c>
      <c r="E117" s="14" t="s">
        <v>1624</v>
      </c>
      <c r="F117" s="14" t="s">
        <v>866</v>
      </c>
      <c r="G117" s="14" t="s">
        <v>867</v>
      </c>
      <c r="H117" s="14"/>
      <c r="I117" s="14">
        <v>4</v>
      </c>
      <c r="J117" s="14">
        <v>2</v>
      </c>
      <c r="K117" s="12">
        <f>IF(J117="","Assessment Pending",MAX(0,I117-J117))</f>
        <v>2</v>
      </c>
      <c r="L117" s="14" t="s">
        <v>899</v>
      </c>
      <c r="M117" s="14" t="s">
        <v>1006</v>
      </c>
      <c r="N117" s="14" t="s">
        <v>2154</v>
      </c>
      <c r="O117" s="14"/>
    </row>
    <row r="118" spans="1:15" ht="45" customHeight="1">
      <c r="A118" s="13" t="s">
        <v>2270</v>
      </c>
      <c r="B118" s="13" t="s">
        <v>318</v>
      </c>
      <c r="C118" s="13" t="s">
        <v>1631</v>
      </c>
      <c r="D118" s="13" t="s">
        <v>475</v>
      </c>
      <c r="E118" s="13" t="s">
        <v>1624</v>
      </c>
      <c r="F118" s="13" t="s">
        <v>869</v>
      </c>
      <c r="G118" s="13" t="s">
        <v>870</v>
      </c>
      <c r="H118" s="13"/>
      <c r="I118" s="13">
        <v>4</v>
      </c>
      <c r="J118" s="13">
        <v>3</v>
      </c>
      <c r="K118" s="11">
        <f>IF(J118="","Assessment Pending",MAX(0,I118-J118))</f>
        <v>1</v>
      </c>
      <c r="L118" s="13" t="s">
        <v>2157</v>
      </c>
      <c r="M118" s="13" t="s">
        <v>1002</v>
      </c>
      <c r="N118" s="13" t="s">
        <v>2154</v>
      </c>
      <c r="O118" s="13"/>
    </row>
    <row r="119" spans="1:15" ht="45" customHeight="1">
      <c r="A119" s="14" t="s">
        <v>2271</v>
      </c>
      <c r="B119" s="14" t="s">
        <v>318</v>
      </c>
      <c r="C119" s="14" t="s">
        <v>1631</v>
      </c>
      <c r="D119" s="14" t="s">
        <v>475</v>
      </c>
      <c r="E119" s="14" t="s">
        <v>1624</v>
      </c>
      <c r="F119" s="14" t="s">
        <v>848</v>
      </c>
      <c r="G119" s="14" t="s">
        <v>849</v>
      </c>
      <c r="H119" s="14"/>
      <c r="I119" s="14">
        <v>4</v>
      </c>
      <c r="J119" s="14">
        <v>2</v>
      </c>
      <c r="K119" s="12">
        <f>IF(J119="","Assessment Pending",MAX(0,I119-J119))</f>
        <v>2</v>
      </c>
      <c r="L119" s="14" t="s">
        <v>899</v>
      </c>
      <c r="M119" s="14" t="s">
        <v>1024</v>
      </c>
      <c r="N119" s="14" t="s">
        <v>2154</v>
      </c>
      <c r="O119" s="14"/>
    </row>
    <row r="120" spans="1:15" ht="45" customHeight="1">
      <c r="A120" s="13" t="s">
        <v>2272</v>
      </c>
      <c r="B120" s="13" t="s">
        <v>318</v>
      </c>
      <c r="C120" s="13" t="s">
        <v>1631</v>
      </c>
      <c r="D120" s="13" t="s">
        <v>475</v>
      </c>
      <c r="E120" s="13" t="s">
        <v>1624</v>
      </c>
      <c r="F120" s="13" t="s">
        <v>851</v>
      </c>
      <c r="G120" s="13" t="s">
        <v>852</v>
      </c>
      <c r="H120" s="13"/>
      <c r="I120" s="13">
        <v>4</v>
      </c>
      <c r="J120" s="13">
        <v>3</v>
      </c>
      <c r="K120" s="11">
        <f>IF(J120="","Assessment Pending",MAX(0,I120-J120))</f>
        <v>1</v>
      </c>
      <c r="L120" s="13" t="s">
        <v>2157</v>
      </c>
      <c r="M120" s="13" t="s">
        <v>1014</v>
      </c>
      <c r="N120" s="13" t="s">
        <v>2154</v>
      </c>
      <c r="O120" s="13"/>
    </row>
    <row r="121" spans="1:15" ht="45" customHeight="1">
      <c r="A121" s="14" t="s">
        <v>2273</v>
      </c>
      <c r="B121" s="14" t="s">
        <v>318</v>
      </c>
      <c r="C121" s="14" t="s">
        <v>1631</v>
      </c>
      <c r="D121" s="14" t="s">
        <v>475</v>
      </c>
      <c r="E121" s="14" t="s">
        <v>1624</v>
      </c>
      <c r="F121" s="14" t="s">
        <v>854</v>
      </c>
      <c r="G121" s="14" t="s">
        <v>855</v>
      </c>
      <c r="H121" s="14"/>
      <c r="I121" s="14">
        <v>4</v>
      </c>
      <c r="J121" s="14">
        <v>2</v>
      </c>
      <c r="K121" s="12">
        <f>IF(J121="","Assessment Pending",MAX(0,I121-J121))</f>
        <v>2</v>
      </c>
      <c r="L121" s="14" t="s">
        <v>899</v>
      </c>
      <c r="M121" s="14" t="s">
        <v>1004</v>
      </c>
      <c r="N121" s="14" t="s">
        <v>2154</v>
      </c>
      <c r="O121" s="14"/>
    </row>
    <row r="122" spans="1:15" ht="45" customHeight="1">
      <c r="A122" s="13" t="s">
        <v>2274</v>
      </c>
      <c r="B122" s="13" t="s">
        <v>318</v>
      </c>
      <c r="C122" s="13" t="s">
        <v>1631</v>
      </c>
      <c r="D122" s="13" t="s">
        <v>475</v>
      </c>
      <c r="E122" s="13" t="s">
        <v>1624</v>
      </c>
      <c r="F122" s="13" t="s">
        <v>857</v>
      </c>
      <c r="G122" s="13" t="s">
        <v>858</v>
      </c>
      <c r="H122" s="13"/>
      <c r="I122" s="13">
        <v>4</v>
      </c>
      <c r="J122" s="13">
        <v>2</v>
      </c>
      <c r="K122" s="11">
        <f>IF(J122="","Assessment Pending",MAX(0,I122-J122))</f>
        <v>2</v>
      </c>
      <c r="L122" s="13" t="s">
        <v>899</v>
      </c>
      <c r="M122" s="13" t="s">
        <v>1016</v>
      </c>
      <c r="N122" s="13" t="s">
        <v>2154</v>
      </c>
      <c r="O122" s="13"/>
    </row>
    <row r="123" spans="1:15" ht="45" customHeight="1">
      <c r="A123" s="14" t="s">
        <v>2275</v>
      </c>
      <c r="B123" s="14" t="s">
        <v>318</v>
      </c>
      <c r="C123" s="14" t="s">
        <v>1631</v>
      </c>
      <c r="D123" s="14" t="s">
        <v>475</v>
      </c>
      <c r="E123" s="14" t="s">
        <v>1624</v>
      </c>
      <c r="F123" s="14" t="s">
        <v>860</v>
      </c>
      <c r="G123" s="14" t="s">
        <v>861</v>
      </c>
      <c r="H123" s="14"/>
      <c r="I123" s="14">
        <v>4</v>
      </c>
      <c r="J123" s="14">
        <v>1</v>
      </c>
      <c r="K123" s="12">
        <f>IF(J123="","Assessment Pending",MAX(0,I123-J123))</f>
        <v>3</v>
      </c>
      <c r="L123" s="14" t="s">
        <v>899</v>
      </c>
      <c r="M123" s="14" t="s">
        <v>1022</v>
      </c>
      <c r="N123" s="14" t="s">
        <v>2154</v>
      </c>
      <c r="O123" s="14"/>
    </row>
    <row r="124" spans="1:15" ht="45" customHeight="1">
      <c r="A124" s="13" t="s">
        <v>2276</v>
      </c>
      <c r="B124" s="13" t="s">
        <v>318</v>
      </c>
      <c r="C124" s="13" t="s">
        <v>1633</v>
      </c>
      <c r="D124" s="13" t="s">
        <v>481</v>
      </c>
      <c r="E124" s="13" t="s">
        <v>1635</v>
      </c>
      <c r="F124" s="13" t="s">
        <v>563</v>
      </c>
      <c r="G124" s="13" t="s">
        <v>564</v>
      </c>
      <c r="H124" s="13" t="s">
        <v>565</v>
      </c>
      <c r="I124" s="13">
        <v>3</v>
      </c>
      <c r="J124" s="13">
        <v>2</v>
      </c>
      <c r="K124" s="11">
        <f>IF(J124="","Assessment Pending",MAX(0,I124-J124))</f>
        <v>1</v>
      </c>
      <c r="L124" s="13" t="s">
        <v>2157</v>
      </c>
      <c r="M124" s="13" t="s">
        <v>912</v>
      </c>
      <c r="N124" s="13" t="s">
        <v>2154</v>
      </c>
      <c r="O124" s="13" t="s">
        <v>2155</v>
      </c>
    </row>
    <row r="125" spans="1:15" ht="45" customHeight="1">
      <c r="A125" s="14" t="s">
        <v>2277</v>
      </c>
      <c r="B125" s="14" t="s">
        <v>318</v>
      </c>
      <c r="C125" s="14" t="s">
        <v>1633</v>
      </c>
      <c r="D125" s="14" t="s">
        <v>481</v>
      </c>
      <c r="E125" s="14" t="s">
        <v>1635</v>
      </c>
      <c r="F125" s="14" t="s">
        <v>572</v>
      </c>
      <c r="G125" s="14" t="s">
        <v>573</v>
      </c>
      <c r="H125" s="14" t="s">
        <v>565</v>
      </c>
      <c r="I125" s="14">
        <v>3</v>
      </c>
      <c r="J125" s="14">
        <v>3</v>
      </c>
      <c r="K125" s="12">
        <f>IF(J125="","Assessment Pending",MAX(0,I125-J125))</f>
        <v>0</v>
      </c>
      <c r="L125" s="14" t="s">
        <v>2151</v>
      </c>
      <c r="M125" s="14" t="s">
        <v>914</v>
      </c>
      <c r="N125" s="14" t="s">
        <v>2152</v>
      </c>
      <c r="O125" s="14"/>
    </row>
    <row r="126" spans="1:15" ht="45" customHeight="1">
      <c r="A126" s="13" t="s">
        <v>2278</v>
      </c>
      <c r="B126" s="13" t="s">
        <v>318</v>
      </c>
      <c r="C126" s="13" t="s">
        <v>1633</v>
      </c>
      <c r="D126" s="13" t="s">
        <v>481</v>
      </c>
      <c r="E126" s="13" t="s">
        <v>1635</v>
      </c>
      <c r="F126" s="13" t="s">
        <v>579</v>
      </c>
      <c r="G126" s="13" t="s">
        <v>580</v>
      </c>
      <c r="H126" s="13" t="s">
        <v>565</v>
      </c>
      <c r="I126" s="13">
        <v>3</v>
      </c>
      <c r="J126" s="13">
        <v>2</v>
      </c>
      <c r="K126" s="11">
        <f>IF(J126="","Assessment Pending",MAX(0,I126-J126))</f>
        <v>1</v>
      </c>
      <c r="L126" s="13" t="s">
        <v>2157</v>
      </c>
      <c r="M126" s="13" t="s">
        <v>888</v>
      </c>
      <c r="N126" s="13" t="s">
        <v>2154</v>
      </c>
      <c r="O126" s="13"/>
    </row>
    <row r="127" spans="1:15" ht="45" customHeight="1">
      <c r="A127" s="14" t="s">
        <v>2279</v>
      </c>
      <c r="B127" s="14" t="s">
        <v>318</v>
      </c>
      <c r="C127" s="14" t="s">
        <v>1633</v>
      </c>
      <c r="D127" s="14" t="s">
        <v>481</v>
      </c>
      <c r="E127" s="14" t="s">
        <v>1635</v>
      </c>
      <c r="F127" s="14" t="s">
        <v>586</v>
      </c>
      <c r="G127" s="14" t="s">
        <v>587</v>
      </c>
      <c r="H127" s="14" t="s">
        <v>565</v>
      </c>
      <c r="I127" s="14">
        <v>3</v>
      </c>
      <c r="J127" s="14">
        <v>2</v>
      </c>
      <c r="K127" s="12">
        <f>IF(J127="","Assessment Pending",MAX(0,I127-J127))</f>
        <v>1</v>
      </c>
      <c r="L127" s="14" t="s">
        <v>2157</v>
      </c>
      <c r="M127" s="14" t="s">
        <v>918</v>
      </c>
      <c r="N127" s="14" t="s">
        <v>2154</v>
      </c>
      <c r="O127" s="14"/>
    </row>
    <row r="128" spans="1:15" ht="45" customHeight="1">
      <c r="A128" s="13" t="s">
        <v>2280</v>
      </c>
      <c r="B128" s="13" t="s">
        <v>318</v>
      </c>
      <c r="C128" s="13" t="s">
        <v>1633</v>
      </c>
      <c r="D128" s="13" t="s">
        <v>481</v>
      </c>
      <c r="E128" s="13" t="s">
        <v>1635</v>
      </c>
      <c r="F128" s="13" t="s">
        <v>600</v>
      </c>
      <c r="G128" s="13" t="s">
        <v>601</v>
      </c>
      <c r="H128" s="13" t="s">
        <v>565</v>
      </c>
      <c r="I128" s="13">
        <v>3</v>
      </c>
      <c r="J128" s="13">
        <v>3</v>
      </c>
      <c r="K128" s="11">
        <f>IF(J128="","Assessment Pending",MAX(0,I128-J128))</f>
        <v>0</v>
      </c>
      <c r="L128" s="13" t="s">
        <v>2151</v>
      </c>
      <c r="M128" s="13" t="s">
        <v>930</v>
      </c>
      <c r="N128" s="13" t="s">
        <v>2152</v>
      </c>
      <c r="O128" s="13"/>
    </row>
    <row r="129" spans="1:15" ht="45" customHeight="1">
      <c r="A129" s="14" t="s">
        <v>2281</v>
      </c>
      <c r="B129" s="14" t="s">
        <v>318</v>
      </c>
      <c r="C129" s="14" t="s">
        <v>1633</v>
      </c>
      <c r="D129" s="14" t="s">
        <v>481</v>
      </c>
      <c r="E129" s="14" t="s">
        <v>1635</v>
      </c>
      <c r="F129" s="14" t="s">
        <v>607</v>
      </c>
      <c r="G129" s="14" t="s">
        <v>608</v>
      </c>
      <c r="H129" s="14" t="s">
        <v>565</v>
      </c>
      <c r="I129" s="14">
        <v>3</v>
      </c>
      <c r="J129" s="14">
        <v>3</v>
      </c>
      <c r="K129" s="12">
        <f>IF(J129="","Assessment Pending",MAX(0,I129-J129))</f>
        <v>0</v>
      </c>
      <c r="L129" s="14" t="s">
        <v>2151</v>
      </c>
      <c r="M129" s="14" t="s">
        <v>900</v>
      </c>
      <c r="N129" s="14" t="s">
        <v>2152</v>
      </c>
      <c r="O129" s="14"/>
    </row>
    <row r="130" spans="1:15" ht="45" customHeight="1">
      <c r="A130" s="13" t="s">
        <v>2282</v>
      </c>
      <c r="B130" s="13" t="s">
        <v>318</v>
      </c>
      <c r="C130" s="13" t="s">
        <v>1633</v>
      </c>
      <c r="D130" s="13" t="s">
        <v>481</v>
      </c>
      <c r="E130" s="13" t="s">
        <v>1635</v>
      </c>
      <c r="F130" s="13" t="s">
        <v>614</v>
      </c>
      <c r="G130" s="13" t="s">
        <v>615</v>
      </c>
      <c r="H130" s="13" t="s">
        <v>565</v>
      </c>
      <c r="I130" s="13">
        <v>3</v>
      </c>
      <c r="J130" s="13">
        <v>3</v>
      </c>
      <c r="K130" s="11">
        <f>IF(J130="","Assessment Pending",MAX(0,I130-J130))</f>
        <v>0</v>
      </c>
      <c r="L130" s="13" t="s">
        <v>2151</v>
      </c>
      <c r="M130" s="13" t="s">
        <v>902</v>
      </c>
      <c r="N130" s="13" t="s">
        <v>2152</v>
      </c>
      <c r="O130" s="13"/>
    </row>
    <row r="131" spans="1:15" ht="45" customHeight="1">
      <c r="A131" s="14" t="s">
        <v>2283</v>
      </c>
      <c r="B131" s="14" t="s">
        <v>318</v>
      </c>
      <c r="C131" s="14" t="s">
        <v>1633</v>
      </c>
      <c r="D131" s="14" t="s">
        <v>481</v>
      </c>
      <c r="E131" s="14" t="s">
        <v>1635</v>
      </c>
      <c r="F131" s="14" t="s">
        <v>621</v>
      </c>
      <c r="G131" s="14" t="s">
        <v>622</v>
      </c>
      <c r="H131" s="14" t="s">
        <v>565</v>
      </c>
      <c r="I131" s="14">
        <v>3</v>
      </c>
      <c r="J131" s="14">
        <v>3</v>
      </c>
      <c r="K131" s="12">
        <f>IF(J131="","Assessment Pending",MAX(0,I131-J131))</f>
        <v>0</v>
      </c>
      <c r="L131" s="14" t="s">
        <v>2151</v>
      </c>
      <c r="M131" s="14" t="s">
        <v>910</v>
      </c>
      <c r="N131" s="14" t="s">
        <v>2152</v>
      </c>
      <c r="O131" s="14" t="s">
        <v>2155</v>
      </c>
    </row>
    <row r="132" spans="1:15" ht="45" customHeight="1">
      <c r="A132" s="13" t="s">
        <v>2284</v>
      </c>
      <c r="B132" s="13" t="s">
        <v>318</v>
      </c>
      <c r="C132" s="13" t="s">
        <v>1633</v>
      </c>
      <c r="D132" s="13" t="s">
        <v>481</v>
      </c>
      <c r="E132" s="13" t="s">
        <v>1635</v>
      </c>
      <c r="F132" s="13" t="s">
        <v>628</v>
      </c>
      <c r="G132" s="13" t="s">
        <v>629</v>
      </c>
      <c r="H132" s="13" t="s">
        <v>630</v>
      </c>
      <c r="I132" s="13">
        <v>3</v>
      </c>
      <c r="J132" s="13">
        <v>3</v>
      </c>
      <c r="K132" s="11">
        <f>IF(J132="","Assessment Pending",MAX(0,I132-J132))</f>
        <v>0</v>
      </c>
      <c r="L132" s="13" t="s">
        <v>2151</v>
      </c>
      <c r="M132" s="13" t="s">
        <v>916</v>
      </c>
      <c r="N132" s="13" t="s">
        <v>2152</v>
      </c>
      <c r="O132" s="13"/>
    </row>
    <row r="133" spans="1:15" ht="45" customHeight="1">
      <c r="A133" s="14" t="s">
        <v>2285</v>
      </c>
      <c r="B133" s="14" t="s">
        <v>318</v>
      </c>
      <c r="C133" s="14" t="s">
        <v>1633</v>
      </c>
      <c r="D133" s="14" t="s">
        <v>481</v>
      </c>
      <c r="E133" s="14" t="s">
        <v>1635</v>
      </c>
      <c r="F133" s="14" t="s">
        <v>636</v>
      </c>
      <c r="G133" s="14" t="s">
        <v>637</v>
      </c>
      <c r="H133" s="14" t="s">
        <v>630</v>
      </c>
      <c r="I133" s="14">
        <v>3</v>
      </c>
      <c r="J133" s="14">
        <v>2</v>
      </c>
      <c r="K133" s="12">
        <f>IF(J133="","Assessment Pending",MAX(0,I133-J133))</f>
        <v>1</v>
      </c>
      <c r="L133" s="14" t="s">
        <v>2157</v>
      </c>
      <c r="M133" s="14" t="s">
        <v>924</v>
      </c>
      <c r="N133" s="14" t="s">
        <v>2154</v>
      </c>
      <c r="O133" s="14" t="s">
        <v>2155</v>
      </c>
    </row>
    <row r="134" spans="1:15" ht="45" customHeight="1">
      <c r="A134" s="13" t="s">
        <v>2286</v>
      </c>
      <c r="B134" s="13" t="s">
        <v>318</v>
      </c>
      <c r="C134" s="13" t="s">
        <v>1639</v>
      </c>
      <c r="D134" s="13" t="s">
        <v>481</v>
      </c>
      <c r="E134" s="13" t="s">
        <v>1635</v>
      </c>
      <c r="F134" s="13" t="s">
        <v>563</v>
      </c>
      <c r="G134" s="13" t="s">
        <v>564</v>
      </c>
      <c r="H134" s="13" t="s">
        <v>565</v>
      </c>
      <c r="I134" s="13">
        <v>3</v>
      </c>
      <c r="J134" s="13">
        <v>3</v>
      </c>
      <c r="K134" s="11">
        <f>IF(J134="","Assessment Pending",MAX(0,I134-J134))</f>
        <v>0</v>
      </c>
      <c r="L134" s="13" t="s">
        <v>2151</v>
      </c>
      <c r="M134" s="13" t="s">
        <v>912</v>
      </c>
      <c r="N134" s="13" t="s">
        <v>2152</v>
      </c>
      <c r="O134" s="13" t="s">
        <v>2155</v>
      </c>
    </row>
    <row r="135" spans="1:15" ht="45" customHeight="1">
      <c r="A135" s="14" t="s">
        <v>2287</v>
      </c>
      <c r="B135" s="14" t="s">
        <v>318</v>
      </c>
      <c r="C135" s="14" t="s">
        <v>1639</v>
      </c>
      <c r="D135" s="14" t="s">
        <v>481</v>
      </c>
      <c r="E135" s="14" t="s">
        <v>1635</v>
      </c>
      <c r="F135" s="14" t="s">
        <v>572</v>
      </c>
      <c r="G135" s="14" t="s">
        <v>573</v>
      </c>
      <c r="H135" s="14" t="s">
        <v>565</v>
      </c>
      <c r="I135" s="14">
        <v>3</v>
      </c>
      <c r="J135" s="14">
        <v>2</v>
      </c>
      <c r="K135" s="12">
        <f>IF(J135="","Assessment Pending",MAX(0,I135-J135))</f>
        <v>1</v>
      </c>
      <c r="L135" s="14" t="s">
        <v>2157</v>
      </c>
      <c r="M135" s="14" t="s">
        <v>914</v>
      </c>
      <c r="N135" s="14" t="s">
        <v>2154</v>
      </c>
      <c r="O135" s="14"/>
    </row>
    <row r="136" spans="1:15" ht="45" customHeight="1">
      <c r="A136" s="13" t="s">
        <v>2288</v>
      </c>
      <c r="B136" s="13" t="s">
        <v>318</v>
      </c>
      <c r="C136" s="13" t="s">
        <v>1639</v>
      </c>
      <c r="D136" s="13" t="s">
        <v>481</v>
      </c>
      <c r="E136" s="13" t="s">
        <v>1635</v>
      </c>
      <c r="F136" s="13" t="s">
        <v>579</v>
      </c>
      <c r="G136" s="13" t="s">
        <v>580</v>
      </c>
      <c r="H136" s="13" t="s">
        <v>565</v>
      </c>
      <c r="I136" s="13">
        <v>3</v>
      </c>
      <c r="J136" s="13">
        <v>3</v>
      </c>
      <c r="K136" s="11">
        <f>IF(J136="","Assessment Pending",MAX(0,I136-J136))</f>
        <v>0</v>
      </c>
      <c r="L136" s="13" t="s">
        <v>2151</v>
      </c>
      <c r="M136" s="13" t="s">
        <v>888</v>
      </c>
      <c r="N136" s="13" t="s">
        <v>2152</v>
      </c>
      <c r="O136" s="13"/>
    </row>
    <row r="137" spans="1:15" ht="45" customHeight="1">
      <c r="A137" s="14" t="s">
        <v>2289</v>
      </c>
      <c r="B137" s="14" t="s">
        <v>318</v>
      </c>
      <c r="C137" s="14" t="s">
        <v>1639</v>
      </c>
      <c r="D137" s="14" t="s">
        <v>481</v>
      </c>
      <c r="E137" s="14" t="s">
        <v>1635</v>
      </c>
      <c r="F137" s="14" t="s">
        <v>586</v>
      </c>
      <c r="G137" s="14" t="s">
        <v>587</v>
      </c>
      <c r="H137" s="14" t="s">
        <v>565</v>
      </c>
      <c r="I137" s="14">
        <v>3</v>
      </c>
      <c r="J137" s="14">
        <v>1</v>
      </c>
      <c r="K137" s="12">
        <f>IF(J137="","Assessment Pending",MAX(0,I137-J137))</f>
        <v>2</v>
      </c>
      <c r="L137" s="14" t="s">
        <v>899</v>
      </c>
      <c r="M137" s="14" t="s">
        <v>918</v>
      </c>
      <c r="N137" s="14" t="s">
        <v>2154</v>
      </c>
      <c r="O137" s="14"/>
    </row>
    <row r="138" spans="1:15" ht="45" customHeight="1">
      <c r="A138" s="13" t="s">
        <v>2290</v>
      </c>
      <c r="B138" s="13" t="s">
        <v>318</v>
      </c>
      <c r="C138" s="13" t="s">
        <v>1639</v>
      </c>
      <c r="D138" s="13" t="s">
        <v>481</v>
      </c>
      <c r="E138" s="13" t="s">
        <v>1635</v>
      </c>
      <c r="F138" s="13" t="s">
        <v>600</v>
      </c>
      <c r="G138" s="13" t="s">
        <v>601</v>
      </c>
      <c r="H138" s="13" t="s">
        <v>565</v>
      </c>
      <c r="I138" s="13">
        <v>3</v>
      </c>
      <c r="J138" s="13">
        <v>2</v>
      </c>
      <c r="K138" s="11">
        <f>IF(J138="","Assessment Pending",MAX(0,I138-J138))</f>
        <v>1</v>
      </c>
      <c r="L138" s="13" t="s">
        <v>2157</v>
      </c>
      <c r="M138" s="13" t="s">
        <v>930</v>
      </c>
      <c r="N138" s="13" t="s">
        <v>2154</v>
      </c>
      <c r="O138" s="13"/>
    </row>
    <row r="139" spans="1:15" ht="45" customHeight="1">
      <c r="A139" s="14" t="s">
        <v>2291</v>
      </c>
      <c r="B139" s="14" t="s">
        <v>318</v>
      </c>
      <c r="C139" s="14" t="s">
        <v>1639</v>
      </c>
      <c r="D139" s="14" t="s">
        <v>481</v>
      </c>
      <c r="E139" s="14" t="s">
        <v>1635</v>
      </c>
      <c r="F139" s="14" t="s">
        <v>607</v>
      </c>
      <c r="G139" s="14" t="s">
        <v>608</v>
      </c>
      <c r="H139" s="14" t="s">
        <v>565</v>
      </c>
      <c r="I139" s="14">
        <v>3</v>
      </c>
      <c r="J139" s="14">
        <v>2</v>
      </c>
      <c r="K139" s="12">
        <f>IF(J139="","Assessment Pending",MAX(0,I139-J139))</f>
        <v>1</v>
      </c>
      <c r="L139" s="14" t="s">
        <v>2157</v>
      </c>
      <c r="M139" s="14" t="s">
        <v>900</v>
      </c>
      <c r="N139" s="14" t="s">
        <v>2154</v>
      </c>
      <c r="O139" s="14"/>
    </row>
    <row r="140" spans="1:15" ht="45" customHeight="1">
      <c r="A140" s="13" t="s">
        <v>2292</v>
      </c>
      <c r="B140" s="13" t="s">
        <v>318</v>
      </c>
      <c r="C140" s="13" t="s">
        <v>1639</v>
      </c>
      <c r="D140" s="13" t="s">
        <v>481</v>
      </c>
      <c r="E140" s="13" t="s">
        <v>1635</v>
      </c>
      <c r="F140" s="13" t="s">
        <v>614</v>
      </c>
      <c r="G140" s="13" t="s">
        <v>615</v>
      </c>
      <c r="H140" s="13" t="s">
        <v>565</v>
      </c>
      <c r="I140" s="13">
        <v>3</v>
      </c>
      <c r="J140" s="13">
        <v>2</v>
      </c>
      <c r="K140" s="11">
        <f>IF(J140="","Assessment Pending",MAX(0,I140-J140))</f>
        <v>1</v>
      </c>
      <c r="L140" s="13" t="s">
        <v>2157</v>
      </c>
      <c r="M140" s="13" t="s">
        <v>902</v>
      </c>
      <c r="N140" s="13" t="s">
        <v>2154</v>
      </c>
      <c r="O140" s="13"/>
    </row>
    <row r="141" spans="1:15" ht="45" customHeight="1">
      <c r="A141" s="14" t="s">
        <v>2293</v>
      </c>
      <c r="B141" s="14" t="s">
        <v>318</v>
      </c>
      <c r="C141" s="14" t="s">
        <v>1639</v>
      </c>
      <c r="D141" s="14" t="s">
        <v>481</v>
      </c>
      <c r="E141" s="14" t="s">
        <v>1635</v>
      </c>
      <c r="F141" s="14" t="s">
        <v>621</v>
      </c>
      <c r="G141" s="14" t="s">
        <v>622</v>
      </c>
      <c r="H141" s="14" t="s">
        <v>565</v>
      </c>
      <c r="I141" s="14">
        <v>3</v>
      </c>
      <c r="J141" s="14">
        <v>3</v>
      </c>
      <c r="K141" s="12">
        <f>IF(J141="","Assessment Pending",MAX(0,I141-J141))</f>
        <v>0</v>
      </c>
      <c r="L141" s="14" t="s">
        <v>2151</v>
      </c>
      <c r="M141" s="14" t="s">
        <v>910</v>
      </c>
      <c r="N141" s="14" t="s">
        <v>2152</v>
      </c>
      <c r="O141" s="14" t="s">
        <v>2155</v>
      </c>
    </row>
    <row r="142" spans="1:15" ht="45" customHeight="1">
      <c r="A142" s="13" t="s">
        <v>2294</v>
      </c>
      <c r="B142" s="13" t="s">
        <v>318</v>
      </c>
      <c r="C142" s="13" t="s">
        <v>1639</v>
      </c>
      <c r="D142" s="13" t="s">
        <v>481</v>
      </c>
      <c r="E142" s="13" t="s">
        <v>1635</v>
      </c>
      <c r="F142" s="13" t="s">
        <v>628</v>
      </c>
      <c r="G142" s="13" t="s">
        <v>629</v>
      </c>
      <c r="H142" s="13" t="s">
        <v>630</v>
      </c>
      <c r="I142" s="13">
        <v>3</v>
      </c>
      <c r="J142" s="13">
        <v>2</v>
      </c>
      <c r="K142" s="11">
        <f>IF(J142="","Assessment Pending",MAX(0,I142-J142))</f>
        <v>1</v>
      </c>
      <c r="L142" s="13" t="s">
        <v>2157</v>
      </c>
      <c r="M142" s="13" t="s">
        <v>916</v>
      </c>
      <c r="N142" s="13" t="s">
        <v>2154</v>
      </c>
      <c r="O142" s="13"/>
    </row>
    <row r="143" spans="1:15" ht="45" customHeight="1">
      <c r="A143" s="14" t="s">
        <v>2295</v>
      </c>
      <c r="B143" s="14" t="s">
        <v>318</v>
      </c>
      <c r="C143" s="14" t="s">
        <v>1639</v>
      </c>
      <c r="D143" s="14" t="s">
        <v>481</v>
      </c>
      <c r="E143" s="14" t="s">
        <v>1635</v>
      </c>
      <c r="F143" s="14" t="s">
        <v>636</v>
      </c>
      <c r="G143" s="14" t="s">
        <v>637</v>
      </c>
      <c r="H143" s="14" t="s">
        <v>630</v>
      </c>
      <c r="I143" s="14">
        <v>3</v>
      </c>
      <c r="J143" s="14">
        <v>2</v>
      </c>
      <c r="K143" s="12">
        <f>IF(J143="","Assessment Pending",MAX(0,I143-J143))</f>
        <v>1</v>
      </c>
      <c r="L143" s="14" t="s">
        <v>2157</v>
      </c>
      <c r="M143" s="14" t="s">
        <v>924</v>
      </c>
      <c r="N143" s="14" t="s">
        <v>2154</v>
      </c>
      <c r="O143" s="14" t="s">
        <v>2155</v>
      </c>
    </row>
    <row r="144" spans="1:15" ht="45" customHeight="1">
      <c r="A144" s="13" t="s">
        <v>2296</v>
      </c>
      <c r="B144" s="13" t="s">
        <v>318</v>
      </c>
      <c r="C144" s="13" t="s">
        <v>1641</v>
      </c>
      <c r="D144" s="13" t="s">
        <v>481</v>
      </c>
      <c r="E144" s="13" t="s">
        <v>1635</v>
      </c>
      <c r="F144" s="13" t="s">
        <v>563</v>
      </c>
      <c r="G144" s="13" t="s">
        <v>564</v>
      </c>
      <c r="H144" s="13" t="s">
        <v>565</v>
      </c>
      <c r="I144" s="13">
        <v>3</v>
      </c>
      <c r="J144" s="13"/>
      <c r="K144" s="11" t="str">
        <f>IF(J144="","Assessment Pending",MAX(0,I144-J144))</f>
        <v>Assessment Pending</v>
      </c>
      <c r="L144" s="13"/>
      <c r="M144" s="13" t="s">
        <v>912</v>
      </c>
      <c r="N144" s="13" t="s">
        <v>2176</v>
      </c>
      <c r="O144" s="13" t="s">
        <v>2155</v>
      </c>
    </row>
    <row r="145" spans="1:15" ht="45" customHeight="1">
      <c r="A145" s="14" t="s">
        <v>2297</v>
      </c>
      <c r="B145" s="14" t="s">
        <v>318</v>
      </c>
      <c r="C145" s="14" t="s">
        <v>1641</v>
      </c>
      <c r="D145" s="14" t="s">
        <v>481</v>
      </c>
      <c r="E145" s="14" t="s">
        <v>1635</v>
      </c>
      <c r="F145" s="14" t="s">
        <v>572</v>
      </c>
      <c r="G145" s="14" t="s">
        <v>573</v>
      </c>
      <c r="H145" s="14" t="s">
        <v>565</v>
      </c>
      <c r="I145" s="14">
        <v>3</v>
      </c>
      <c r="J145" s="14"/>
      <c r="K145" s="12" t="str">
        <f>IF(J145="","Assessment Pending",MAX(0,I145-J145))</f>
        <v>Assessment Pending</v>
      </c>
      <c r="L145" s="14"/>
      <c r="M145" s="14" t="s">
        <v>914</v>
      </c>
      <c r="N145" s="14" t="s">
        <v>2176</v>
      </c>
      <c r="O145" s="14"/>
    </row>
    <row r="146" spans="1:15" ht="45" customHeight="1">
      <c r="A146" s="13" t="s">
        <v>2298</v>
      </c>
      <c r="B146" s="13" t="s">
        <v>318</v>
      </c>
      <c r="C146" s="13" t="s">
        <v>1641</v>
      </c>
      <c r="D146" s="13" t="s">
        <v>481</v>
      </c>
      <c r="E146" s="13" t="s">
        <v>1635</v>
      </c>
      <c r="F146" s="13" t="s">
        <v>579</v>
      </c>
      <c r="G146" s="13" t="s">
        <v>580</v>
      </c>
      <c r="H146" s="13" t="s">
        <v>565</v>
      </c>
      <c r="I146" s="13">
        <v>3</v>
      </c>
      <c r="J146" s="13"/>
      <c r="K146" s="11" t="str">
        <f>IF(J146="","Assessment Pending",MAX(0,I146-J146))</f>
        <v>Assessment Pending</v>
      </c>
      <c r="L146" s="13"/>
      <c r="M146" s="13" t="s">
        <v>888</v>
      </c>
      <c r="N146" s="13" t="s">
        <v>2176</v>
      </c>
      <c r="O146" s="13"/>
    </row>
    <row r="147" spans="1:15" ht="45" customHeight="1">
      <c r="A147" s="14" t="s">
        <v>2299</v>
      </c>
      <c r="B147" s="14" t="s">
        <v>318</v>
      </c>
      <c r="C147" s="14" t="s">
        <v>1641</v>
      </c>
      <c r="D147" s="14" t="s">
        <v>481</v>
      </c>
      <c r="E147" s="14" t="s">
        <v>1635</v>
      </c>
      <c r="F147" s="14" t="s">
        <v>586</v>
      </c>
      <c r="G147" s="14" t="s">
        <v>587</v>
      </c>
      <c r="H147" s="14" t="s">
        <v>565</v>
      </c>
      <c r="I147" s="14">
        <v>3</v>
      </c>
      <c r="J147" s="14"/>
      <c r="K147" s="12" t="str">
        <f>IF(J147="","Assessment Pending",MAX(0,I147-J147))</f>
        <v>Assessment Pending</v>
      </c>
      <c r="L147" s="14"/>
      <c r="M147" s="14" t="s">
        <v>918</v>
      </c>
      <c r="N147" s="14" t="s">
        <v>2176</v>
      </c>
      <c r="O147" s="14"/>
    </row>
    <row r="148" spans="1:15" ht="45" customHeight="1">
      <c r="A148" s="13" t="s">
        <v>2300</v>
      </c>
      <c r="B148" s="13" t="s">
        <v>318</v>
      </c>
      <c r="C148" s="13" t="s">
        <v>1641</v>
      </c>
      <c r="D148" s="13" t="s">
        <v>481</v>
      </c>
      <c r="E148" s="13" t="s">
        <v>1635</v>
      </c>
      <c r="F148" s="13" t="s">
        <v>600</v>
      </c>
      <c r="G148" s="13" t="s">
        <v>601</v>
      </c>
      <c r="H148" s="13" t="s">
        <v>565</v>
      </c>
      <c r="I148" s="13">
        <v>3</v>
      </c>
      <c r="J148" s="13"/>
      <c r="K148" s="11" t="str">
        <f>IF(J148="","Assessment Pending",MAX(0,I148-J148))</f>
        <v>Assessment Pending</v>
      </c>
      <c r="L148" s="13"/>
      <c r="M148" s="13" t="s">
        <v>930</v>
      </c>
      <c r="N148" s="13" t="s">
        <v>2176</v>
      </c>
      <c r="O148" s="13"/>
    </row>
    <row r="149" spans="1:15" ht="45" customHeight="1">
      <c r="A149" s="14" t="s">
        <v>2301</v>
      </c>
      <c r="B149" s="14" t="s">
        <v>318</v>
      </c>
      <c r="C149" s="14" t="s">
        <v>1641</v>
      </c>
      <c r="D149" s="14" t="s">
        <v>481</v>
      </c>
      <c r="E149" s="14" t="s">
        <v>1635</v>
      </c>
      <c r="F149" s="14" t="s">
        <v>607</v>
      </c>
      <c r="G149" s="14" t="s">
        <v>608</v>
      </c>
      <c r="H149" s="14" t="s">
        <v>565</v>
      </c>
      <c r="I149" s="14">
        <v>3</v>
      </c>
      <c r="J149" s="14"/>
      <c r="K149" s="12" t="str">
        <f>IF(J149="","Assessment Pending",MAX(0,I149-J149))</f>
        <v>Assessment Pending</v>
      </c>
      <c r="L149" s="14"/>
      <c r="M149" s="14" t="s">
        <v>900</v>
      </c>
      <c r="N149" s="14" t="s">
        <v>2176</v>
      </c>
      <c r="O149" s="14"/>
    </row>
    <row r="150" spans="1:15" ht="45" customHeight="1">
      <c r="A150" s="13" t="s">
        <v>2302</v>
      </c>
      <c r="B150" s="13" t="s">
        <v>318</v>
      </c>
      <c r="C150" s="13" t="s">
        <v>1641</v>
      </c>
      <c r="D150" s="13" t="s">
        <v>481</v>
      </c>
      <c r="E150" s="13" t="s">
        <v>1635</v>
      </c>
      <c r="F150" s="13" t="s">
        <v>614</v>
      </c>
      <c r="G150" s="13" t="s">
        <v>615</v>
      </c>
      <c r="H150" s="13" t="s">
        <v>565</v>
      </c>
      <c r="I150" s="13">
        <v>3</v>
      </c>
      <c r="J150" s="13"/>
      <c r="K150" s="11" t="str">
        <f>IF(J150="","Assessment Pending",MAX(0,I150-J150))</f>
        <v>Assessment Pending</v>
      </c>
      <c r="L150" s="13"/>
      <c r="M150" s="13" t="s">
        <v>902</v>
      </c>
      <c r="N150" s="13" t="s">
        <v>2176</v>
      </c>
      <c r="O150" s="13"/>
    </row>
    <row r="151" spans="1:15" ht="45" customHeight="1">
      <c r="A151" s="14" t="s">
        <v>2303</v>
      </c>
      <c r="B151" s="14" t="s">
        <v>318</v>
      </c>
      <c r="C151" s="14" t="s">
        <v>1641</v>
      </c>
      <c r="D151" s="14" t="s">
        <v>481</v>
      </c>
      <c r="E151" s="14" t="s">
        <v>1635</v>
      </c>
      <c r="F151" s="14" t="s">
        <v>621</v>
      </c>
      <c r="G151" s="14" t="s">
        <v>622</v>
      </c>
      <c r="H151" s="14" t="s">
        <v>565</v>
      </c>
      <c r="I151" s="14">
        <v>3</v>
      </c>
      <c r="J151" s="14"/>
      <c r="K151" s="12" t="str">
        <f>IF(J151="","Assessment Pending",MAX(0,I151-J151))</f>
        <v>Assessment Pending</v>
      </c>
      <c r="L151" s="14"/>
      <c r="M151" s="14" t="s">
        <v>910</v>
      </c>
      <c r="N151" s="14" t="s">
        <v>2176</v>
      </c>
      <c r="O151" s="14" t="s">
        <v>2155</v>
      </c>
    </row>
    <row r="152" spans="1:15" ht="45" customHeight="1">
      <c r="A152" s="13" t="s">
        <v>2304</v>
      </c>
      <c r="B152" s="13" t="s">
        <v>318</v>
      </c>
      <c r="C152" s="13" t="s">
        <v>1641</v>
      </c>
      <c r="D152" s="13" t="s">
        <v>481</v>
      </c>
      <c r="E152" s="13" t="s">
        <v>1635</v>
      </c>
      <c r="F152" s="13" t="s">
        <v>628</v>
      </c>
      <c r="G152" s="13" t="s">
        <v>629</v>
      </c>
      <c r="H152" s="13" t="s">
        <v>630</v>
      </c>
      <c r="I152" s="13">
        <v>3</v>
      </c>
      <c r="J152" s="13"/>
      <c r="K152" s="11" t="str">
        <f>IF(J152="","Assessment Pending",MAX(0,I152-J152))</f>
        <v>Assessment Pending</v>
      </c>
      <c r="L152" s="13"/>
      <c r="M152" s="13" t="s">
        <v>916</v>
      </c>
      <c r="N152" s="13" t="s">
        <v>2176</v>
      </c>
      <c r="O152" s="13"/>
    </row>
    <row r="153" spans="1:15" ht="45" customHeight="1">
      <c r="A153" s="14" t="s">
        <v>2305</v>
      </c>
      <c r="B153" s="14" t="s">
        <v>318</v>
      </c>
      <c r="C153" s="14" t="s">
        <v>1641</v>
      </c>
      <c r="D153" s="14" t="s">
        <v>481</v>
      </c>
      <c r="E153" s="14" t="s">
        <v>1635</v>
      </c>
      <c r="F153" s="14" t="s">
        <v>636</v>
      </c>
      <c r="G153" s="14" t="s">
        <v>637</v>
      </c>
      <c r="H153" s="14" t="s">
        <v>630</v>
      </c>
      <c r="I153" s="14">
        <v>3</v>
      </c>
      <c r="J153" s="14"/>
      <c r="K153" s="12" t="str">
        <f>IF(J153="","Assessment Pending",MAX(0,I153-J153))</f>
        <v>Assessment Pending</v>
      </c>
      <c r="L153" s="14"/>
      <c r="M153" s="14" t="s">
        <v>924</v>
      </c>
      <c r="N153" s="14" t="s">
        <v>2176</v>
      </c>
      <c r="O153" s="14" t="s">
        <v>2155</v>
      </c>
    </row>
    <row r="154" spans="1:15" ht="45" customHeight="1">
      <c r="A154" s="13" t="s">
        <v>2306</v>
      </c>
      <c r="B154" s="13" t="s">
        <v>318</v>
      </c>
      <c r="C154" s="13" t="s">
        <v>1643</v>
      </c>
      <c r="D154" s="13" t="s">
        <v>481</v>
      </c>
      <c r="E154" s="13" t="s">
        <v>1635</v>
      </c>
      <c r="F154" s="13" t="s">
        <v>563</v>
      </c>
      <c r="G154" s="13" t="s">
        <v>564</v>
      </c>
      <c r="H154" s="13" t="s">
        <v>565</v>
      </c>
      <c r="I154" s="13">
        <v>3</v>
      </c>
      <c r="J154" s="13">
        <v>3</v>
      </c>
      <c r="K154" s="11">
        <f>IF(J154="","Assessment Pending",MAX(0,I154-J154))</f>
        <v>0</v>
      </c>
      <c r="L154" s="13" t="s">
        <v>2151</v>
      </c>
      <c r="M154" s="13" t="s">
        <v>912</v>
      </c>
      <c r="N154" s="13" t="s">
        <v>2152</v>
      </c>
      <c r="O154" s="13" t="s">
        <v>2155</v>
      </c>
    </row>
    <row r="155" spans="1:15" ht="45" customHeight="1">
      <c r="A155" s="14" t="s">
        <v>2307</v>
      </c>
      <c r="B155" s="14" t="s">
        <v>318</v>
      </c>
      <c r="C155" s="14" t="s">
        <v>1643</v>
      </c>
      <c r="D155" s="14" t="s">
        <v>481</v>
      </c>
      <c r="E155" s="14" t="s">
        <v>1635</v>
      </c>
      <c r="F155" s="14" t="s">
        <v>572</v>
      </c>
      <c r="G155" s="14" t="s">
        <v>573</v>
      </c>
      <c r="H155" s="14" t="s">
        <v>565</v>
      </c>
      <c r="I155" s="14">
        <v>3</v>
      </c>
      <c r="J155" s="14">
        <v>3</v>
      </c>
      <c r="K155" s="12">
        <f>IF(J155="","Assessment Pending",MAX(0,I155-J155))</f>
        <v>0</v>
      </c>
      <c r="L155" s="14" t="s">
        <v>2151</v>
      </c>
      <c r="M155" s="14" t="s">
        <v>914</v>
      </c>
      <c r="N155" s="14" t="s">
        <v>2152</v>
      </c>
      <c r="O155" s="14"/>
    </row>
    <row r="156" spans="1:15" ht="45" customHeight="1">
      <c r="A156" s="13" t="s">
        <v>2308</v>
      </c>
      <c r="B156" s="13" t="s">
        <v>318</v>
      </c>
      <c r="C156" s="13" t="s">
        <v>1643</v>
      </c>
      <c r="D156" s="13" t="s">
        <v>481</v>
      </c>
      <c r="E156" s="13" t="s">
        <v>1635</v>
      </c>
      <c r="F156" s="13" t="s">
        <v>579</v>
      </c>
      <c r="G156" s="13" t="s">
        <v>580</v>
      </c>
      <c r="H156" s="13" t="s">
        <v>565</v>
      </c>
      <c r="I156" s="13">
        <v>3</v>
      </c>
      <c r="J156" s="13">
        <v>2</v>
      </c>
      <c r="K156" s="11">
        <f>IF(J156="","Assessment Pending",MAX(0,I156-J156))</f>
        <v>1</v>
      </c>
      <c r="L156" s="13" t="s">
        <v>2157</v>
      </c>
      <c r="M156" s="13" t="s">
        <v>888</v>
      </c>
      <c r="N156" s="13" t="s">
        <v>2154</v>
      </c>
      <c r="O156" s="13"/>
    </row>
    <row r="157" spans="1:15" ht="45" customHeight="1">
      <c r="A157" s="14" t="s">
        <v>2309</v>
      </c>
      <c r="B157" s="14" t="s">
        <v>318</v>
      </c>
      <c r="C157" s="14" t="s">
        <v>1643</v>
      </c>
      <c r="D157" s="14" t="s">
        <v>481</v>
      </c>
      <c r="E157" s="14" t="s">
        <v>1635</v>
      </c>
      <c r="F157" s="14" t="s">
        <v>586</v>
      </c>
      <c r="G157" s="14" t="s">
        <v>587</v>
      </c>
      <c r="H157" s="14" t="s">
        <v>565</v>
      </c>
      <c r="I157" s="14">
        <v>3</v>
      </c>
      <c r="J157" s="14">
        <v>2</v>
      </c>
      <c r="K157" s="12">
        <f>IF(J157="","Assessment Pending",MAX(0,I157-J157))</f>
        <v>1</v>
      </c>
      <c r="L157" s="14" t="s">
        <v>2157</v>
      </c>
      <c r="M157" s="14" t="s">
        <v>918</v>
      </c>
      <c r="N157" s="14" t="s">
        <v>2154</v>
      </c>
      <c r="O157" s="14"/>
    </row>
    <row r="158" spans="1:15" ht="45" customHeight="1">
      <c r="A158" s="13" t="s">
        <v>2310</v>
      </c>
      <c r="B158" s="13" t="s">
        <v>318</v>
      </c>
      <c r="C158" s="13" t="s">
        <v>1643</v>
      </c>
      <c r="D158" s="13" t="s">
        <v>481</v>
      </c>
      <c r="E158" s="13" t="s">
        <v>1635</v>
      </c>
      <c r="F158" s="13" t="s">
        <v>600</v>
      </c>
      <c r="G158" s="13" t="s">
        <v>601</v>
      </c>
      <c r="H158" s="13" t="s">
        <v>565</v>
      </c>
      <c r="I158" s="13">
        <v>3</v>
      </c>
      <c r="J158" s="13">
        <v>3</v>
      </c>
      <c r="K158" s="11">
        <f>IF(J158="","Assessment Pending",MAX(0,I158-J158))</f>
        <v>0</v>
      </c>
      <c r="L158" s="13" t="s">
        <v>2151</v>
      </c>
      <c r="M158" s="13" t="s">
        <v>930</v>
      </c>
      <c r="N158" s="13" t="s">
        <v>2152</v>
      </c>
      <c r="O158" s="13"/>
    </row>
    <row r="159" spans="1:15" ht="45" customHeight="1">
      <c r="A159" s="14" t="s">
        <v>2311</v>
      </c>
      <c r="B159" s="14" t="s">
        <v>318</v>
      </c>
      <c r="C159" s="14" t="s">
        <v>1643</v>
      </c>
      <c r="D159" s="14" t="s">
        <v>481</v>
      </c>
      <c r="E159" s="14" t="s">
        <v>1635</v>
      </c>
      <c r="F159" s="14" t="s">
        <v>607</v>
      </c>
      <c r="G159" s="14" t="s">
        <v>608</v>
      </c>
      <c r="H159" s="14" t="s">
        <v>565</v>
      </c>
      <c r="I159" s="14">
        <v>3</v>
      </c>
      <c r="J159" s="14">
        <v>2</v>
      </c>
      <c r="K159" s="12">
        <f>IF(J159="","Assessment Pending",MAX(0,I159-J159))</f>
        <v>1</v>
      </c>
      <c r="L159" s="14" t="s">
        <v>2157</v>
      </c>
      <c r="M159" s="14" t="s">
        <v>900</v>
      </c>
      <c r="N159" s="14" t="s">
        <v>2154</v>
      </c>
      <c r="O159" s="14"/>
    </row>
    <row r="160" spans="1:15" ht="45" customHeight="1">
      <c r="A160" s="13" t="s">
        <v>2312</v>
      </c>
      <c r="B160" s="13" t="s">
        <v>318</v>
      </c>
      <c r="C160" s="13" t="s">
        <v>1643</v>
      </c>
      <c r="D160" s="13" t="s">
        <v>481</v>
      </c>
      <c r="E160" s="13" t="s">
        <v>1635</v>
      </c>
      <c r="F160" s="13" t="s">
        <v>614</v>
      </c>
      <c r="G160" s="13" t="s">
        <v>615</v>
      </c>
      <c r="H160" s="13" t="s">
        <v>565</v>
      </c>
      <c r="I160" s="13">
        <v>3</v>
      </c>
      <c r="J160" s="13">
        <v>2</v>
      </c>
      <c r="K160" s="11">
        <f>IF(J160="","Assessment Pending",MAX(0,I160-J160))</f>
        <v>1</v>
      </c>
      <c r="L160" s="13" t="s">
        <v>2157</v>
      </c>
      <c r="M160" s="13" t="s">
        <v>902</v>
      </c>
      <c r="N160" s="13" t="s">
        <v>2154</v>
      </c>
      <c r="O160" s="13"/>
    </row>
    <row r="161" spans="1:15" ht="45" customHeight="1">
      <c r="A161" s="14" t="s">
        <v>2313</v>
      </c>
      <c r="B161" s="14" t="s">
        <v>318</v>
      </c>
      <c r="C161" s="14" t="s">
        <v>1643</v>
      </c>
      <c r="D161" s="14" t="s">
        <v>481</v>
      </c>
      <c r="E161" s="14" t="s">
        <v>1635</v>
      </c>
      <c r="F161" s="14" t="s">
        <v>621</v>
      </c>
      <c r="G161" s="14" t="s">
        <v>622</v>
      </c>
      <c r="H161" s="14" t="s">
        <v>565</v>
      </c>
      <c r="I161" s="14">
        <v>3</v>
      </c>
      <c r="J161" s="14">
        <v>2</v>
      </c>
      <c r="K161" s="12">
        <f>IF(J161="","Assessment Pending",MAX(0,I161-J161))</f>
        <v>1</v>
      </c>
      <c r="L161" s="14" t="s">
        <v>2157</v>
      </c>
      <c r="M161" s="14" t="s">
        <v>910</v>
      </c>
      <c r="N161" s="14" t="s">
        <v>2154</v>
      </c>
      <c r="O161" s="14" t="s">
        <v>2155</v>
      </c>
    </row>
    <row r="162" spans="1:15" ht="45" customHeight="1">
      <c r="A162" s="13" t="s">
        <v>2314</v>
      </c>
      <c r="B162" s="13" t="s">
        <v>318</v>
      </c>
      <c r="C162" s="13" t="s">
        <v>1643</v>
      </c>
      <c r="D162" s="13" t="s">
        <v>481</v>
      </c>
      <c r="E162" s="13" t="s">
        <v>1635</v>
      </c>
      <c r="F162" s="13" t="s">
        <v>628</v>
      </c>
      <c r="G162" s="13" t="s">
        <v>629</v>
      </c>
      <c r="H162" s="13" t="s">
        <v>630</v>
      </c>
      <c r="I162" s="13">
        <v>3</v>
      </c>
      <c r="J162" s="13">
        <v>3</v>
      </c>
      <c r="K162" s="11">
        <f>IF(J162="","Assessment Pending",MAX(0,I162-J162))</f>
        <v>0</v>
      </c>
      <c r="L162" s="13" t="s">
        <v>2151</v>
      </c>
      <c r="M162" s="13" t="s">
        <v>916</v>
      </c>
      <c r="N162" s="13" t="s">
        <v>2152</v>
      </c>
      <c r="O162" s="13"/>
    </row>
    <row r="163" spans="1:15" ht="45" customHeight="1">
      <c r="A163" s="14" t="s">
        <v>2315</v>
      </c>
      <c r="B163" s="14" t="s">
        <v>318</v>
      </c>
      <c r="C163" s="14" t="s">
        <v>1643</v>
      </c>
      <c r="D163" s="14" t="s">
        <v>481</v>
      </c>
      <c r="E163" s="14" t="s">
        <v>1635</v>
      </c>
      <c r="F163" s="14" t="s">
        <v>636</v>
      </c>
      <c r="G163" s="14" t="s">
        <v>637</v>
      </c>
      <c r="H163" s="14" t="s">
        <v>630</v>
      </c>
      <c r="I163" s="14">
        <v>3</v>
      </c>
      <c r="J163" s="14">
        <v>3</v>
      </c>
      <c r="K163" s="12">
        <f>IF(J163="","Assessment Pending",MAX(0,I163-J163))</f>
        <v>0</v>
      </c>
      <c r="L163" s="14" t="s">
        <v>2151</v>
      </c>
      <c r="M163" s="14" t="s">
        <v>924</v>
      </c>
      <c r="N163" s="14" t="s">
        <v>2152</v>
      </c>
      <c r="O163" s="14" t="s">
        <v>2155</v>
      </c>
    </row>
    <row r="164" spans="1:15" ht="45" customHeight="1">
      <c r="A164" s="13" t="s">
        <v>2316</v>
      </c>
      <c r="B164" s="13" t="s">
        <v>318</v>
      </c>
      <c r="C164" s="13" t="s">
        <v>1645</v>
      </c>
      <c r="D164" s="13" t="s">
        <v>487</v>
      </c>
      <c r="E164" s="13" t="s">
        <v>1647</v>
      </c>
      <c r="F164" s="13" t="s">
        <v>563</v>
      </c>
      <c r="G164" s="13" t="s">
        <v>564</v>
      </c>
      <c r="H164" s="13" t="s">
        <v>565</v>
      </c>
      <c r="I164" s="13">
        <v>3</v>
      </c>
      <c r="J164" s="13">
        <v>1</v>
      </c>
      <c r="K164" s="11">
        <f>IF(J164="","Assessment Pending",MAX(0,I164-J164))</f>
        <v>2</v>
      </c>
      <c r="L164" s="13" t="s">
        <v>899</v>
      </c>
      <c r="M164" s="13" t="s">
        <v>912</v>
      </c>
      <c r="N164" s="13" t="s">
        <v>2154</v>
      </c>
      <c r="O164" s="13" t="s">
        <v>2155</v>
      </c>
    </row>
    <row r="165" spans="1:15" ht="45" customHeight="1">
      <c r="A165" s="14" t="s">
        <v>2317</v>
      </c>
      <c r="B165" s="14" t="s">
        <v>318</v>
      </c>
      <c r="C165" s="14" t="s">
        <v>1645</v>
      </c>
      <c r="D165" s="14" t="s">
        <v>487</v>
      </c>
      <c r="E165" s="14" t="s">
        <v>1647</v>
      </c>
      <c r="F165" s="14" t="s">
        <v>572</v>
      </c>
      <c r="G165" s="14" t="s">
        <v>573</v>
      </c>
      <c r="H165" s="14" t="s">
        <v>565</v>
      </c>
      <c r="I165" s="14">
        <v>3</v>
      </c>
      <c r="J165" s="14">
        <v>2</v>
      </c>
      <c r="K165" s="12">
        <f>IF(J165="","Assessment Pending",MAX(0,I165-J165))</f>
        <v>1</v>
      </c>
      <c r="L165" s="14" t="s">
        <v>2157</v>
      </c>
      <c r="M165" s="14" t="s">
        <v>914</v>
      </c>
      <c r="N165" s="14" t="s">
        <v>2154</v>
      </c>
      <c r="O165" s="14"/>
    </row>
    <row r="166" spans="1:15" ht="45" customHeight="1">
      <c r="A166" s="13" t="s">
        <v>2318</v>
      </c>
      <c r="B166" s="13" t="s">
        <v>318</v>
      </c>
      <c r="C166" s="13" t="s">
        <v>1645</v>
      </c>
      <c r="D166" s="13" t="s">
        <v>487</v>
      </c>
      <c r="E166" s="13" t="s">
        <v>1647</v>
      </c>
      <c r="F166" s="13" t="s">
        <v>579</v>
      </c>
      <c r="G166" s="13" t="s">
        <v>580</v>
      </c>
      <c r="H166" s="13" t="s">
        <v>565</v>
      </c>
      <c r="I166" s="13">
        <v>3</v>
      </c>
      <c r="J166" s="13">
        <v>2</v>
      </c>
      <c r="K166" s="11">
        <f>IF(J166="","Assessment Pending",MAX(0,I166-J166))</f>
        <v>1</v>
      </c>
      <c r="L166" s="13" t="s">
        <v>2157</v>
      </c>
      <c r="M166" s="13" t="s">
        <v>888</v>
      </c>
      <c r="N166" s="13" t="s">
        <v>2154</v>
      </c>
      <c r="O166" s="13"/>
    </row>
    <row r="167" spans="1:15" ht="45" customHeight="1">
      <c r="A167" s="14" t="s">
        <v>2319</v>
      </c>
      <c r="B167" s="14" t="s">
        <v>318</v>
      </c>
      <c r="C167" s="14" t="s">
        <v>1645</v>
      </c>
      <c r="D167" s="14" t="s">
        <v>487</v>
      </c>
      <c r="E167" s="14" t="s">
        <v>1647</v>
      </c>
      <c r="F167" s="14" t="s">
        <v>586</v>
      </c>
      <c r="G167" s="14" t="s">
        <v>587</v>
      </c>
      <c r="H167" s="14" t="s">
        <v>565</v>
      </c>
      <c r="I167" s="14">
        <v>3</v>
      </c>
      <c r="J167" s="14">
        <v>2</v>
      </c>
      <c r="K167" s="12">
        <f>IF(J167="","Assessment Pending",MAX(0,I167-J167))</f>
        <v>1</v>
      </c>
      <c r="L167" s="14" t="s">
        <v>2157</v>
      </c>
      <c r="M167" s="14" t="s">
        <v>918</v>
      </c>
      <c r="N167" s="14" t="s">
        <v>2154</v>
      </c>
      <c r="O167" s="14"/>
    </row>
    <row r="168" spans="1:15" ht="45" customHeight="1">
      <c r="A168" s="13" t="s">
        <v>2320</v>
      </c>
      <c r="B168" s="13" t="s">
        <v>318</v>
      </c>
      <c r="C168" s="13" t="s">
        <v>1645</v>
      </c>
      <c r="D168" s="13" t="s">
        <v>487</v>
      </c>
      <c r="E168" s="13" t="s">
        <v>1647</v>
      </c>
      <c r="F168" s="13" t="s">
        <v>600</v>
      </c>
      <c r="G168" s="13" t="s">
        <v>601</v>
      </c>
      <c r="H168" s="13" t="s">
        <v>565</v>
      </c>
      <c r="I168" s="13">
        <v>3</v>
      </c>
      <c r="J168" s="13">
        <v>2</v>
      </c>
      <c r="K168" s="11">
        <f>IF(J168="","Assessment Pending",MAX(0,I168-J168))</f>
        <v>1</v>
      </c>
      <c r="L168" s="13" t="s">
        <v>2157</v>
      </c>
      <c r="M168" s="13" t="s">
        <v>930</v>
      </c>
      <c r="N168" s="13" t="s">
        <v>2154</v>
      </c>
      <c r="O168" s="13"/>
    </row>
    <row r="169" spans="1:15" ht="45" customHeight="1">
      <c r="A169" s="14" t="s">
        <v>2321</v>
      </c>
      <c r="B169" s="14" t="s">
        <v>318</v>
      </c>
      <c r="C169" s="14" t="s">
        <v>1645</v>
      </c>
      <c r="D169" s="14" t="s">
        <v>487</v>
      </c>
      <c r="E169" s="14" t="s">
        <v>1647</v>
      </c>
      <c r="F169" s="14" t="s">
        <v>607</v>
      </c>
      <c r="G169" s="14" t="s">
        <v>608</v>
      </c>
      <c r="H169" s="14" t="s">
        <v>565</v>
      </c>
      <c r="I169" s="14">
        <v>3</v>
      </c>
      <c r="J169" s="14">
        <v>2</v>
      </c>
      <c r="K169" s="12">
        <f>IF(J169="","Assessment Pending",MAX(0,I169-J169))</f>
        <v>1</v>
      </c>
      <c r="L169" s="14" t="s">
        <v>2157</v>
      </c>
      <c r="M169" s="14" t="s">
        <v>900</v>
      </c>
      <c r="N169" s="14" t="s">
        <v>2154</v>
      </c>
      <c r="O169" s="14"/>
    </row>
    <row r="170" spans="1:15" ht="45" customHeight="1">
      <c r="A170" s="13" t="s">
        <v>2322</v>
      </c>
      <c r="B170" s="13" t="s">
        <v>318</v>
      </c>
      <c r="C170" s="13" t="s">
        <v>1645</v>
      </c>
      <c r="D170" s="13" t="s">
        <v>487</v>
      </c>
      <c r="E170" s="13" t="s">
        <v>1647</v>
      </c>
      <c r="F170" s="13" t="s">
        <v>614</v>
      </c>
      <c r="G170" s="13" t="s">
        <v>615</v>
      </c>
      <c r="H170" s="13" t="s">
        <v>565</v>
      </c>
      <c r="I170" s="13">
        <v>3</v>
      </c>
      <c r="J170" s="13">
        <v>2</v>
      </c>
      <c r="K170" s="11">
        <f>IF(J170="","Assessment Pending",MAX(0,I170-J170))</f>
        <v>1</v>
      </c>
      <c r="L170" s="13" t="s">
        <v>2157</v>
      </c>
      <c r="M170" s="13" t="s">
        <v>902</v>
      </c>
      <c r="N170" s="13" t="s">
        <v>2154</v>
      </c>
      <c r="O170" s="13"/>
    </row>
    <row r="171" spans="1:15" ht="45" customHeight="1">
      <c r="A171" s="14" t="s">
        <v>2323</v>
      </c>
      <c r="B171" s="14" t="s">
        <v>318</v>
      </c>
      <c r="C171" s="14" t="s">
        <v>1645</v>
      </c>
      <c r="D171" s="14" t="s">
        <v>487</v>
      </c>
      <c r="E171" s="14" t="s">
        <v>1647</v>
      </c>
      <c r="F171" s="14" t="s">
        <v>621</v>
      </c>
      <c r="G171" s="14" t="s">
        <v>622</v>
      </c>
      <c r="H171" s="14" t="s">
        <v>565</v>
      </c>
      <c r="I171" s="14">
        <v>3</v>
      </c>
      <c r="J171" s="14">
        <v>3</v>
      </c>
      <c r="K171" s="12">
        <f>IF(J171="","Assessment Pending",MAX(0,I171-J171))</f>
        <v>0</v>
      </c>
      <c r="L171" s="14" t="s">
        <v>2151</v>
      </c>
      <c r="M171" s="14" t="s">
        <v>910</v>
      </c>
      <c r="N171" s="14" t="s">
        <v>2152</v>
      </c>
      <c r="O171" s="14" t="s">
        <v>2155</v>
      </c>
    </row>
    <row r="172" spans="1:15" ht="45" customHeight="1">
      <c r="A172" s="13" t="s">
        <v>2324</v>
      </c>
      <c r="B172" s="13" t="s">
        <v>318</v>
      </c>
      <c r="C172" s="13" t="s">
        <v>1645</v>
      </c>
      <c r="D172" s="13" t="s">
        <v>487</v>
      </c>
      <c r="E172" s="13" t="s">
        <v>1647</v>
      </c>
      <c r="F172" s="13" t="s">
        <v>628</v>
      </c>
      <c r="G172" s="13" t="s">
        <v>629</v>
      </c>
      <c r="H172" s="13" t="s">
        <v>630</v>
      </c>
      <c r="I172" s="13">
        <v>3</v>
      </c>
      <c r="J172" s="13">
        <v>2</v>
      </c>
      <c r="K172" s="11">
        <f>IF(J172="","Assessment Pending",MAX(0,I172-J172))</f>
        <v>1</v>
      </c>
      <c r="L172" s="13" t="s">
        <v>2157</v>
      </c>
      <c r="M172" s="13" t="s">
        <v>916</v>
      </c>
      <c r="N172" s="13" t="s">
        <v>2154</v>
      </c>
      <c r="O172" s="13"/>
    </row>
    <row r="173" spans="1:15" ht="45" customHeight="1">
      <c r="A173" s="14" t="s">
        <v>2325</v>
      </c>
      <c r="B173" s="14" t="s">
        <v>318</v>
      </c>
      <c r="C173" s="14" t="s">
        <v>1645</v>
      </c>
      <c r="D173" s="14" t="s">
        <v>487</v>
      </c>
      <c r="E173" s="14" t="s">
        <v>1647</v>
      </c>
      <c r="F173" s="14" t="s">
        <v>636</v>
      </c>
      <c r="G173" s="14" t="s">
        <v>637</v>
      </c>
      <c r="H173" s="14" t="s">
        <v>630</v>
      </c>
      <c r="I173" s="14">
        <v>3</v>
      </c>
      <c r="J173" s="14">
        <v>2</v>
      </c>
      <c r="K173" s="12">
        <f>IF(J173="","Assessment Pending",MAX(0,I173-J173))</f>
        <v>1</v>
      </c>
      <c r="L173" s="14" t="s">
        <v>2157</v>
      </c>
      <c r="M173" s="14" t="s">
        <v>924</v>
      </c>
      <c r="N173" s="14" t="s">
        <v>2154</v>
      </c>
      <c r="O173" s="14" t="s">
        <v>2155</v>
      </c>
    </row>
    <row r="174" spans="1:15" ht="45" customHeight="1">
      <c r="A174" s="13" t="s">
        <v>2326</v>
      </c>
      <c r="B174" s="13" t="s">
        <v>318</v>
      </c>
      <c r="C174" s="13" t="s">
        <v>1650</v>
      </c>
      <c r="D174" s="13" t="s">
        <v>487</v>
      </c>
      <c r="E174" s="13" t="s">
        <v>1647</v>
      </c>
      <c r="F174" s="13" t="s">
        <v>563</v>
      </c>
      <c r="G174" s="13" t="s">
        <v>564</v>
      </c>
      <c r="H174" s="13" t="s">
        <v>565</v>
      </c>
      <c r="I174" s="13">
        <v>3</v>
      </c>
      <c r="J174" s="13">
        <v>2</v>
      </c>
      <c r="K174" s="11">
        <f>IF(J174="","Assessment Pending",MAX(0,I174-J174))</f>
        <v>1</v>
      </c>
      <c r="L174" s="13" t="s">
        <v>2157</v>
      </c>
      <c r="M174" s="13" t="s">
        <v>912</v>
      </c>
      <c r="N174" s="13" t="s">
        <v>2154</v>
      </c>
      <c r="O174" s="13" t="s">
        <v>2155</v>
      </c>
    </row>
    <row r="175" spans="1:15" ht="45" customHeight="1">
      <c r="A175" s="14" t="s">
        <v>2327</v>
      </c>
      <c r="B175" s="14" t="s">
        <v>318</v>
      </c>
      <c r="C175" s="14" t="s">
        <v>1650</v>
      </c>
      <c r="D175" s="14" t="s">
        <v>487</v>
      </c>
      <c r="E175" s="14" t="s">
        <v>1647</v>
      </c>
      <c r="F175" s="14" t="s">
        <v>572</v>
      </c>
      <c r="G175" s="14" t="s">
        <v>573</v>
      </c>
      <c r="H175" s="14" t="s">
        <v>565</v>
      </c>
      <c r="I175" s="14">
        <v>3</v>
      </c>
      <c r="J175" s="14">
        <v>3</v>
      </c>
      <c r="K175" s="12">
        <f>IF(J175="","Assessment Pending",MAX(0,I175-J175))</f>
        <v>0</v>
      </c>
      <c r="L175" s="14" t="s">
        <v>2151</v>
      </c>
      <c r="M175" s="14" t="s">
        <v>914</v>
      </c>
      <c r="N175" s="14" t="s">
        <v>2152</v>
      </c>
      <c r="O175" s="14"/>
    </row>
    <row r="176" spans="1:15" ht="45" customHeight="1">
      <c r="A176" s="13" t="s">
        <v>2328</v>
      </c>
      <c r="B176" s="13" t="s">
        <v>318</v>
      </c>
      <c r="C176" s="13" t="s">
        <v>1650</v>
      </c>
      <c r="D176" s="13" t="s">
        <v>487</v>
      </c>
      <c r="E176" s="13" t="s">
        <v>1647</v>
      </c>
      <c r="F176" s="13" t="s">
        <v>579</v>
      </c>
      <c r="G176" s="13" t="s">
        <v>580</v>
      </c>
      <c r="H176" s="13" t="s">
        <v>565</v>
      </c>
      <c r="I176" s="13">
        <v>3</v>
      </c>
      <c r="J176" s="13">
        <v>2</v>
      </c>
      <c r="K176" s="11">
        <f>IF(J176="","Assessment Pending",MAX(0,I176-J176))</f>
        <v>1</v>
      </c>
      <c r="L176" s="13" t="s">
        <v>2157</v>
      </c>
      <c r="M176" s="13" t="s">
        <v>888</v>
      </c>
      <c r="N176" s="13" t="s">
        <v>2154</v>
      </c>
      <c r="O176" s="13"/>
    </row>
    <row r="177" spans="1:15" ht="45" customHeight="1">
      <c r="A177" s="14" t="s">
        <v>2329</v>
      </c>
      <c r="B177" s="14" t="s">
        <v>318</v>
      </c>
      <c r="C177" s="14" t="s">
        <v>1650</v>
      </c>
      <c r="D177" s="14" t="s">
        <v>487</v>
      </c>
      <c r="E177" s="14" t="s">
        <v>1647</v>
      </c>
      <c r="F177" s="14" t="s">
        <v>586</v>
      </c>
      <c r="G177" s="14" t="s">
        <v>587</v>
      </c>
      <c r="H177" s="14" t="s">
        <v>565</v>
      </c>
      <c r="I177" s="14">
        <v>3</v>
      </c>
      <c r="J177" s="14">
        <v>3</v>
      </c>
      <c r="K177" s="12">
        <f>IF(J177="","Assessment Pending",MAX(0,I177-J177))</f>
        <v>0</v>
      </c>
      <c r="L177" s="14" t="s">
        <v>2151</v>
      </c>
      <c r="M177" s="14" t="s">
        <v>918</v>
      </c>
      <c r="N177" s="14" t="s">
        <v>2152</v>
      </c>
      <c r="O177" s="14"/>
    </row>
    <row r="178" spans="1:15" ht="45" customHeight="1">
      <c r="A178" s="13" t="s">
        <v>2330</v>
      </c>
      <c r="B178" s="13" t="s">
        <v>318</v>
      </c>
      <c r="C178" s="13" t="s">
        <v>1650</v>
      </c>
      <c r="D178" s="13" t="s">
        <v>487</v>
      </c>
      <c r="E178" s="13" t="s">
        <v>1647</v>
      </c>
      <c r="F178" s="13" t="s">
        <v>600</v>
      </c>
      <c r="G178" s="13" t="s">
        <v>601</v>
      </c>
      <c r="H178" s="13" t="s">
        <v>565</v>
      </c>
      <c r="I178" s="13">
        <v>3</v>
      </c>
      <c r="J178" s="13">
        <v>3</v>
      </c>
      <c r="K178" s="11">
        <f>IF(J178="","Assessment Pending",MAX(0,I178-J178))</f>
        <v>0</v>
      </c>
      <c r="L178" s="13" t="s">
        <v>2151</v>
      </c>
      <c r="M178" s="13" t="s">
        <v>930</v>
      </c>
      <c r="N178" s="13" t="s">
        <v>2152</v>
      </c>
      <c r="O178" s="13"/>
    </row>
    <row r="179" spans="1:15" ht="45" customHeight="1">
      <c r="A179" s="14" t="s">
        <v>2331</v>
      </c>
      <c r="B179" s="14" t="s">
        <v>318</v>
      </c>
      <c r="C179" s="14" t="s">
        <v>1650</v>
      </c>
      <c r="D179" s="14" t="s">
        <v>487</v>
      </c>
      <c r="E179" s="14" t="s">
        <v>1647</v>
      </c>
      <c r="F179" s="14" t="s">
        <v>607</v>
      </c>
      <c r="G179" s="14" t="s">
        <v>608</v>
      </c>
      <c r="H179" s="14" t="s">
        <v>565</v>
      </c>
      <c r="I179" s="14">
        <v>3</v>
      </c>
      <c r="J179" s="14">
        <v>3</v>
      </c>
      <c r="K179" s="12">
        <f>IF(J179="","Assessment Pending",MAX(0,I179-J179))</f>
        <v>0</v>
      </c>
      <c r="L179" s="14" t="s">
        <v>2151</v>
      </c>
      <c r="M179" s="14" t="s">
        <v>900</v>
      </c>
      <c r="N179" s="14" t="s">
        <v>2152</v>
      </c>
      <c r="O179" s="14"/>
    </row>
    <row r="180" spans="1:15" ht="45" customHeight="1">
      <c r="A180" s="13" t="s">
        <v>2332</v>
      </c>
      <c r="B180" s="13" t="s">
        <v>318</v>
      </c>
      <c r="C180" s="13" t="s">
        <v>1650</v>
      </c>
      <c r="D180" s="13" t="s">
        <v>487</v>
      </c>
      <c r="E180" s="13" t="s">
        <v>1647</v>
      </c>
      <c r="F180" s="13" t="s">
        <v>614</v>
      </c>
      <c r="G180" s="13" t="s">
        <v>615</v>
      </c>
      <c r="H180" s="13" t="s">
        <v>565</v>
      </c>
      <c r="I180" s="13">
        <v>3</v>
      </c>
      <c r="J180" s="13">
        <v>3</v>
      </c>
      <c r="K180" s="11">
        <f>IF(J180="","Assessment Pending",MAX(0,I180-J180))</f>
        <v>0</v>
      </c>
      <c r="L180" s="13" t="s">
        <v>2151</v>
      </c>
      <c r="M180" s="13" t="s">
        <v>902</v>
      </c>
      <c r="N180" s="13" t="s">
        <v>2152</v>
      </c>
      <c r="O180" s="13"/>
    </row>
    <row r="181" spans="1:15" ht="45" customHeight="1">
      <c r="A181" s="14" t="s">
        <v>2333</v>
      </c>
      <c r="B181" s="14" t="s">
        <v>318</v>
      </c>
      <c r="C181" s="14" t="s">
        <v>1650</v>
      </c>
      <c r="D181" s="14" t="s">
        <v>487</v>
      </c>
      <c r="E181" s="14" t="s">
        <v>1647</v>
      </c>
      <c r="F181" s="14" t="s">
        <v>621</v>
      </c>
      <c r="G181" s="14" t="s">
        <v>622</v>
      </c>
      <c r="H181" s="14" t="s">
        <v>565</v>
      </c>
      <c r="I181" s="14">
        <v>3</v>
      </c>
      <c r="J181" s="14">
        <v>3</v>
      </c>
      <c r="K181" s="12">
        <f>IF(J181="","Assessment Pending",MAX(0,I181-J181))</f>
        <v>0</v>
      </c>
      <c r="L181" s="14" t="s">
        <v>2151</v>
      </c>
      <c r="M181" s="14" t="s">
        <v>910</v>
      </c>
      <c r="N181" s="14" t="s">
        <v>2152</v>
      </c>
      <c r="O181" s="14" t="s">
        <v>2155</v>
      </c>
    </row>
    <row r="182" spans="1:15" ht="45" customHeight="1">
      <c r="A182" s="13" t="s">
        <v>2334</v>
      </c>
      <c r="B182" s="13" t="s">
        <v>318</v>
      </c>
      <c r="C182" s="13" t="s">
        <v>1650</v>
      </c>
      <c r="D182" s="13" t="s">
        <v>487</v>
      </c>
      <c r="E182" s="13" t="s">
        <v>1647</v>
      </c>
      <c r="F182" s="13" t="s">
        <v>628</v>
      </c>
      <c r="G182" s="13" t="s">
        <v>629</v>
      </c>
      <c r="H182" s="13" t="s">
        <v>630</v>
      </c>
      <c r="I182" s="13">
        <v>3</v>
      </c>
      <c r="J182" s="13">
        <v>3</v>
      </c>
      <c r="K182" s="11">
        <f>IF(J182="","Assessment Pending",MAX(0,I182-J182))</f>
        <v>0</v>
      </c>
      <c r="L182" s="13" t="s">
        <v>2151</v>
      </c>
      <c r="M182" s="13" t="s">
        <v>916</v>
      </c>
      <c r="N182" s="13" t="s">
        <v>2152</v>
      </c>
      <c r="O182" s="13"/>
    </row>
    <row r="183" spans="1:15" ht="45" customHeight="1">
      <c r="A183" s="14" t="s">
        <v>2335</v>
      </c>
      <c r="B183" s="14" t="s">
        <v>318</v>
      </c>
      <c r="C183" s="14" t="s">
        <v>1650</v>
      </c>
      <c r="D183" s="14" t="s">
        <v>487</v>
      </c>
      <c r="E183" s="14" t="s">
        <v>1647</v>
      </c>
      <c r="F183" s="14" t="s">
        <v>636</v>
      </c>
      <c r="G183" s="14" t="s">
        <v>637</v>
      </c>
      <c r="H183" s="14" t="s">
        <v>630</v>
      </c>
      <c r="I183" s="14">
        <v>3</v>
      </c>
      <c r="J183" s="14">
        <v>3</v>
      </c>
      <c r="K183" s="12">
        <f>IF(J183="","Assessment Pending",MAX(0,I183-J183))</f>
        <v>0</v>
      </c>
      <c r="L183" s="14" t="s">
        <v>2151</v>
      </c>
      <c r="M183" s="14" t="s">
        <v>924</v>
      </c>
      <c r="N183" s="14" t="s">
        <v>2152</v>
      </c>
      <c r="O183" s="14" t="s">
        <v>2155</v>
      </c>
    </row>
    <row r="184" spans="1:15" ht="45" customHeight="1">
      <c r="A184" s="13" t="s">
        <v>2336</v>
      </c>
      <c r="B184" s="13" t="s">
        <v>318</v>
      </c>
      <c r="C184" s="13" t="s">
        <v>1652</v>
      </c>
      <c r="D184" s="13" t="s">
        <v>487</v>
      </c>
      <c r="E184" s="13" t="s">
        <v>1647</v>
      </c>
      <c r="F184" s="13" t="s">
        <v>563</v>
      </c>
      <c r="G184" s="13" t="s">
        <v>564</v>
      </c>
      <c r="H184" s="13" t="s">
        <v>565</v>
      </c>
      <c r="I184" s="13">
        <v>3</v>
      </c>
      <c r="J184" s="13">
        <v>2</v>
      </c>
      <c r="K184" s="11">
        <f>IF(J184="","Assessment Pending",MAX(0,I184-J184))</f>
        <v>1</v>
      </c>
      <c r="L184" s="13" t="s">
        <v>2157</v>
      </c>
      <c r="M184" s="13" t="s">
        <v>912</v>
      </c>
      <c r="N184" s="13" t="s">
        <v>2154</v>
      </c>
      <c r="O184" s="13" t="s">
        <v>2155</v>
      </c>
    </row>
    <row r="185" spans="1:15" ht="45" customHeight="1">
      <c r="A185" s="14" t="s">
        <v>2337</v>
      </c>
      <c r="B185" s="14" t="s">
        <v>318</v>
      </c>
      <c r="C185" s="14" t="s">
        <v>1652</v>
      </c>
      <c r="D185" s="14" t="s">
        <v>487</v>
      </c>
      <c r="E185" s="14" t="s">
        <v>1647</v>
      </c>
      <c r="F185" s="14" t="s">
        <v>572</v>
      </c>
      <c r="G185" s="14" t="s">
        <v>573</v>
      </c>
      <c r="H185" s="14" t="s">
        <v>565</v>
      </c>
      <c r="I185" s="14">
        <v>3</v>
      </c>
      <c r="J185" s="14">
        <v>2</v>
      </c>
      <c r="K185" s="12">
        <f>IF(J185="","Assessment Pending",MAX(0,I185-J185))</f>
        <v>1</v>
      </c>
      <c r="L185" s="14" t="s">
        <v>2157</v>
      </c>
      <c r="M185" s="14" t="s">
        <v>914</v>
      </c>
      <c r="N185" s="14" t="s">
        <v>2154</v>
      </c>
      <c r="O185" s="14"/>
    </row>
    <row r="186" spans="1:15" ht="45" customHeight="1">
      <c r="A186" s="13" t="s">
        <v>2338</v>
      </c>
      <c r="B186" s="13" t="s">
        <v>318</v>
      </c>
      <c r="C186" s="13" t="s">
        <v>1652</v>
      </c>
      <c r="D186" s="13" t="s">
        <v>487</v>
      </c>
      <c r="E186" s="13" t="s">
        <v>1647</v>
      </c>
      <c r="F186" s="13" t="s">
        <v>579</v>
      </c>
      <c r="G186" s="13" t="s">
        <v>580</v>
      </c>
      <c r="H186" s="13" t="s">
        <v>565</v>
      </c>
      <c r="I186" s="13">
        <v>3</v>
      </c>
      <c r="J186" s="13">
        <v>2</v>
      </c>
      <c r="K186" s="11">
        <f>IF(J186="","Assessment Pending",MAX(0,I186-J186))</f>
        <v>1</v>
      </c>
      <c r="L186" s="13" t="s">
        <v>2157</v>
      </c>
      <c r="M186" s="13" t="s">
        <v>888</v>
      </c>
      <c r="N186" s="13" t="s">
        <v>2154</v>
      </c>
      <c r="O186" s="13"/>
    </row>
    <row r="187" spans="1:15" ht="45" customHeight="1">
      <c r="A187" s="14" t="s">
        <v>2339</v>
      </c>
      <c r="B187" s="14" t="s">
        <v>318</v>
      </c>
      <c r="C187" s="14" t="s">
        <v>1652</v>
      </c>
      <c r="D187" s="14" t="s">
        <v>487</v>
      </c>
      <c r="E187" s="14" t="s">
        <v>1647</v>
      </c>
      <c r="F187" s="14" t="s">
        <v>586</v>
      </c>
      <c r="G187" s="14" t="s">
        <v>587</v>
      </c>
      <c r="H187" s="14" t="s">
        <v>565</v>
      </c>
      <c r="I187" s="14">
        <v>3</v>
      </c>
      <c r="J187" s="14">
        <v>1</v>
      </c>
      <c r="K187" s="12">
        <f>IF(J187="","Assessment Pending",MAX(0,I187-J187))</f>
        <v>2</v>
      </c>
      <c r="L187" s="14" t="s">
        <v>899</v>
      </c>
      <c r="M187" s="14" t="s">
        <v>918</v>
      </c>
      <c r="N187" s="14" t="s">
        <v>2154</v>
      </c>
      <c r="O187" s="14"/>
    </row>
    <row r="188" spans="1:15" ht="45" customHeight="1">
      <c r="A188" s="13" t="s">
        <v>2340</v>
      </c>
      <c r="B188" s="13" t="s">
        <v>318</v>
      </c>
      <c r="C188" s="13" t="s">
        <v>1652</v>
      </c>
      <c r="D188" s="13" t="s">
        <v>487</v>
      </c>
      <c r="E188" s="13" t="s">
        <v>1647</v>
      </c>
      <c r="F188" s="13" t="s">
        <v>600</v>
      </c>
      <c r="G188" s="13" t="s">
        <v>601</v>
      </c>
      <c r="H188" s="13" t="s">
        <v>565</v>
      </c>
      <c r="I188" s="13">
        <v>3</v>
      </c>
      <c r="J188" s="13">
        <v>2</v>
      </c>
      <c r="K188" s="11">
        <f>IF(J188="","Assessment Pending",MAX(0,I188-J188))</f>
        <v>1</v>
      </c>
      <c r="L188" s="13" t="s">
        <v>2157</v>
      </c>
      <c r="M188" s="13" t="s">
        <v>930</v>
      </c>
      <c r="N188" s="13" t="s">
        <v>2154</v>
      </c>
      <c r="O188" s="13"/>
    </row>
    <row r="189" spans="1:15" ht="45" customHeight="1">
      <c r="A189" s="14" t="s">
        <v>2341</v>
      </c>
      <c r="B189" s="14" t="s">
        <v>318</v>
      </c>
      <c r="C189" s="14" t="s">
        <v>1652</v>
      </c>
      <c r="D189" s="14" t="s">
        <v>487</v>
      </c>
      <c r="E189" s="14" t="s">
        <v>1647</v>
      </c>
      <c r="F189" s="14" t="s">
        <v>607</v>
      </c>
      <c r="G189" s="14" t="s">
        <v>608</v>
      </c>
      <c r="H189" s="14" t="s">
        <v>565</v>
      </c>
      <c r="I189" s="14">
        <v>3</v>
      </c>
      <c r="J189" s="14">
        <v>2</v>
      </c>
      <c r="K189" s="12">
        <f>IF(J189="","Assessment Pending",MAX(0,I189-J189))</f>
        <v>1</v>
      </c>
      <c r="L189" s="14" t="s">
        <v>2157</v>
      </c>
      <c r="M189" s="14" t="s">
        <v>900</v>
      </c>
      <c r="N189" s="14" t="s">
        <v>2154</v>
      </c>
      <c r="O189" s="14"/>
    </row>
    <row r="190" spans="1:15" ht="45" customHeight="1">
      <c r="A190" s="13" t="s">
        <v>2342</v>
      </c>
      <c r="B190" s="13" t="s">
        <v>318</v>
      </c>
      <c r="C190" s="13" t="s">
        <v>1652</v>
      </c>
      <c r="D190" s="13" t="s">
        <v>487</v>
      </c>
      <c r="E190" s="13" t="s">
        <v>1647</v>
      </c>
      <c r="F190" s="13" t="s">
        <v>614</v>
      </c>
      <c r="G190" s="13" t="s">
        <v>615</v>
      </c>
      <c r="H190" s="13" t="s">
        <v>565</v>
      </c>
      <c r="I190" s="13">
        <v>3</v>
      </c>
      <c r="J190" s="13">
        <v>3</v>
      </c>
      <c r="K190" s="11">
        <f>IF(J190="","Assessment Pending",MAX(0,I190-J190))</f>
        <v>0</v>
      </c>
      <c r="L190" s="13" t="s">
        <v>2151</v>
      </c>
      <c r="M190" s="13" t="s">
        <v>902</v>
      </c>
      <c r="N190" s="13" t="s">
        <v>2152</v>
      </c>
      <c r="O190" s="13"/>
    </row>
    <row r="191" spans="1:15" ht="45" customHeight="1">
      <c r="A191" s="14" t="s">
        <v>2343</v>
      </c>
      <c r="B191" s="14" t="s">
        <v>318</v>
      </c>
      <c r="C191" s="14" t="s">
        <v>1652</v>
      </c>
      <c r="D191" s="14" t="s">
        <v>487</v>
      </c>
      <c r="E191" s="14" t="s">
        <v>1647</v>
      </c>
      <c r="F191" s="14" t="s">
        <v>621</v>
      </c>
      <c r="G191" s="14" t="s">
        <v>622</v>
      </c>
      <c r="H191" s="14" t="s">
        <v>565</v>
      </c>
      <c r="I191" s="14">
        <v>3</v>
      </c>
      <c r="J191" s="14">
        <v>2</v>
      </c>
      <c r="K191" s="12">
        <f>IF(J191="","Assessment Pending",MAX(0,I191-J191))</f>
        <v>1</v>
      </c>
      <c r="L191" s="14" t="s">
        <v>2157</v>
      </c>
      <c r="M191" s="14" t="s">
        <v>910</v>
      </c>
      <c r="N191" s="14" t="s">
        <v>2154</v>
      </c>
      <c r="O191" s="14" t="s">
        <v>2155</v>
      </c>
    </row>
    <row r="192" spans="1:15" ht="45" customHeight="1">
      <c r="A192" s="13" t="s">
        <v>2344</v>
      </c>
      <c r="B192" s="13" t="s">
        <v>318</v>
      </c>
      <c r="C192" s="13" t="s">
        <v>1652</v>
      </c>
      <c r="D192" s="13" t="s">
        <v>487</v>
      </c>
      <c r="E192" s="13" t="s">
        <v>1647</v>
      </c>
      <c r="F192" s="13" t="s">
        <v>628</v>
      </c>
      <c r="G192" s="13" t="s">
        <v>629</v>
      </c>
      <c r="H192" s="13" t="s">
        <v>630</v>
      </c>
      <c r="I192" s="13">
        <v>3</v>
      </c>
      <c r="J192" s="13">
        <v>2</v>
      </c>
      <c r="K192" s="11">
        <f>IF(J192="","Assessment Pending",MAX(0,I192-J192))</f>
        <v>1</v>
      </c>
      <c r="L192" s="13" t="s">
        <v>2157</v>
      </c>
      <c r="M192" s="13" t="s">
        <v>916</v>
      </c>
      <c r="N192" s="13" t="s">
        <v>2154</v>
      </c>
      <c r="O192" s="13"/>
    </row>
    <row r="193" spans="1:15" ht="45" customHeight="1">
      <c r="A193" s="14" t="s">
        <v>2345</v>
      </c>
      <c r="B193" s="14" t="s">
        <v>318</v>
      </c>
      <c r="C193" s="14" t="s">
        <v>1652</v>
      </c>
      <c r="D193" s="14" t="s">
        <v>487</v>
      </c>
      <c r="E193" s="14" t="s">
        <v>1647</v>
      </c>
      <c r="F193" s="14" t="s">
        <v>636</v>
      </c>
      <c r="G193" s="14" t="s">
        <v>637</v>
      </c>
      <c r="H193" s="14" t="s">
        <v>630</v>
      </c>
      <c r="I193" s="14">
        <v>3</v>
      </c>
      <c r="J193" s="14">
        <v>2</v>
      </c>
      <c r="K193" s="12">
        <f>IF(J193="","Assessment Pending",MAX(0,I193-J193))</f>
        <v>1</v>
      </c>
      <c r="L193" s="14" t="s">
        <v>2157</v>
      </c>
      <c r="M193" s="14" t="s">
        <v>924</v>
      </c>
      <c r="N193" s="14" t="s">
        <v>2154</v>
      </c>
      <c r="O193" s="14" t="s">
        <v>2155</v>
      </c>
    </row>
    <row r="194" spans="1:15" ht="45" customHeight="1">
      <c r="A194" s="13" t="s">
        <v>2346</v>
      </c>
      <c r="B194" s="13" t="s">
        <v>318</v>
      </c>
      <c r="C194" s="13" t="s">
        <v>1654</v>
      </c>
      <c r="D194" s="13" t="s">
        <v>487</v>
      </c>
      <c r="E194" s="13" t="s">
        <v>1647</v>
      </c>
      <c r="F194" s="13" t="s">
        <v>563</v>
      </c>
      <c r="G194" s="13" t="s">
        <v>564</v>
      </c>
      <c r="H194" s="13" t="s">
        <v>565</v>
      </c>
      <c r="I194" s="13">
        <v>3</v>
      </c>
      <c r="J194" s="13">
        <v>2</v>
      </c>
      <c r="K194" s="11">
        <f>IF(J194="","Assessment Pending",MAX(0,I194-J194))</f>
        <v>1</v>
      </c>
      <c r="L194" s="13" t="s">
        <v>2157</v>
      </c>
      <c r="M194" s="13" t="s">
        <v>912</v>
      </c>
      <c r="N194" s="13" t="s">
        <v>2154</v>
      </c>
      <c r="O194" s="13" t="s">
        <v>2155</v>
      </c>
    </row>
    <row r="195" spans="1:15" ht="45" customHeight="1">
      <c r="A195" s="14" t="s">
        <v>2347</v>
      </c>
      <c r="B195" s="14" t="s">
        <v>318</v>
      </c>
      <c r="C195" s="14" t="s">
        <v>1654</v>
      </c>
      <c r="D195" s="14" t="s">
        <v>487</v>
      </c>
      <c r="E195" s="14" t="s">
        <v>1647</v>
      </c>
      <c r="F195" s="14" t="s">
        <v>572</v>
      </c>
      <c r="G195" s="14" t="s">
        <v>573</v>
      </c>
      <c r="H195" s="14" t="s">
        <v>565</v>
      </c>
      <c r="I195" s="14">
        <v>3</v>
      </c>
      <c r="J195" s="14">
        <v>2</v>
      </c>
      <c r="K195" s="12">
        <f>IF(J195="","Assessment Pending",MAX(0,I195-J195))</f>
        <v>1</v>
      </c>
      <c r="L195" s="14" t="s">
        <v>2157</v>
      </c>
      <c r="M195" s="14" t="s">
        <v>914</v>
      </c>
      <c r="N195" s="14" t="s">
        <v>2154</v>
      </c>
      <c r="O195" s="14"/>
    </row>
    <row r="196" spans="1:15" ht="45" customHeight="1">
      <c r="A196" s="13" t="s">
        <v>2348</v>
      </c>
      <c r="B196" s="13" t="s">
        <v>318</v>
      </c>
      <c r="C196" s="13" t="s">
        <v>1654</v>
      </c>
      <c r="D196" s="13" t="s">
        <v>487</v>
      </c>
      <c r="E196" s="13" t="s">
        <v>1647</v>
      </c>
      <c r="F196" s="13" t="s">
        <v>579</v>
      </c>
      <c r="G196" s="13" t="s">
        <v>580</v>
      </c>
      <c r="H196" s="13" t="s">
        <v>565</v>
      </c>
      <c r="I196" s="13">
        <v>3</v>
      </c>
      <c r="J196" s="13">
        <v>2</v>
      </c>
      <c r="K196" s="11">
        <f>IF(J196="","Assessment Pending",MAX(0,I196-J196))</f>
        <v>1</v>
      </c>
      <c r="L196" s="13" t="s">
        <v>2157</v>
      </c>
      <c r="M196" s="13" t="s">
        <v>888</v>
      </c>
      <c r="N196" s="13" t="s">
        <v>2154</v>
      </c>
      <c r="O196" s="13"/>
    </row>
    <row r="197" spans="1:15" ht="45" customHeight="1">
      <c r="A197" s="14" t="s">
        <v>2349</v>
      </c>
      <c r="B197" s="14" t="s">
        <v>318</v>
      </c>
      <c r="C197" s="14" t="s">
        <v>1654</v>
      </c>
      <c r="D197" s="14" t="s">
        <v>487</v>
      </c>
      <c r="E197" s="14" t="s">
        <v>1647</v>
      </c>
      <c r="F197" s="14" t="s">
        <v>586</v>
      </c>
      <c r="G197" s="14" t="s">
        <v>587</v>
      </c>
      <c r="H197" s="14" t="s">
        <v>565</v>
      </c>
      <c r="I197" s="14">
        <v>3</v>
      </c>
      <c r="J197" s="14">
        <v>2</v>
      </c>
      <c r="K197" s="12">
        <f>IF(J197="","Assessment Pending",MAX(0,I197-J197))</f>
        <v>1</v>
      </c>
      <c r="L197" s="14" t="s">
        <v>2157</v>
      </c>
      <c r="M197" s="14" t="s">
        <v>918</v>
      </c>
      <c r="N197" s="14" t="s">
        <v>2154</v>
      </c>
      <c r="O197" s="14"/>
    </row>
    <row r="198" spans="1:15" ht="45" customHeight="1">
      <c r="A198" s="13" t="s">
        <v>2350</v>
      </c>
      <c r="B198" s="13" t="s">
        <v>318</v>
      </c>
      <c r="C198" s="13" t="s">
        <v>1654</v>
      </c>
      <c r="D198" s="13" t="s">
        <v>487</v>
      </c>
      <c r="E198" s="13" t="s">
        <v>1647</v>
      </c>
      <c r="F198" s="13" t="s">
        <v>600</v>
      </c>
      <c r="G198" s="13" t="s">
        <v>601</v>
      </c>
      <c r="H198" s="13" t="s">
        <v>565</v>
      </c>
      <c r="I198" s="13">
        <v>3</v>
      </c>
      <c r="J198" s="13">
        <v>2</v>
      </c>
      <c r="K198" s="11">
        <f>IF(J198="","Assessment Pending",MAX(0,I198-J198))</f>
        <v>1</v>
      </c>
      <c r="L198" s="13" t="s">
        <v>2157</v>
      </c>
      <c r="M198" s="13" t="s">
        <v>930</v>
      </c>
      <c r="N198" s="13" t="s">
        <v>2154</v>
      </c>
      <c r="O198" s="13"/>
    </row>
    <row r="199" spans="1:15" ht="45" customHeight="1">
      <c r="A199" s="14" t="s">
        <v>2351</v>
      </c>
      <c r="B199" s="14" t="s">
        <v>318</v>
      </c>
      <c r="C199" s="14" t="s">
        <v>1654</v>
      </c>
      <c r="D199" s="14" t="s">
        <v>487</v>
      </c>
      <c r="E199" s="14" t="s">
        <v>1647</v>
      </c>
      <c r="F199" s="14" t="s">
        <v>607</v>
      </c>
      <c r="G199" s="14" t="s">
        <v>608</v>
      </c>
      <c r="H199" s="14" t="s">
        <v>565</v>
      </c>
      <c r="I199" s="14">
        <v>3</v>
      </c>
      <c r="J199" s="14">
        <v>2</v>
      </c>
      <c r="K199" s="12">
        <f>IF(J199="","Assessment Pending",MAX(0,I199-J199))</f>
        <v>1</v>
      </c>
      <c r="L199" s="14" t="s">
        <v>2157</v>
      </c>
      <c r="M199" s="14" t="s">
        <v>900</v>
      </c>
      <c r="N199" s="14" t="s">
        <v>2154</v>
      </c>
      <c r="O199" s="14"/>
    </row>
    <row r="200" spans="1:15" ht="45" customHeight="1">
      <c r="A200" s="13" t="s">
        <v>2352</v>
      </c>
      <c r="B200" s="13" t="s">
        <v>318</v>
      </c>
      <c r="C200" s="13" t="s">
        <v>1654</v>
      </c>
      <c r="D200" s="13" t="s">
        <v>487</v>
      </c>
      <c r="E200" s="13" t="s">
        <v>1647</v>
      </c>
      <c r="F200" s="13" t="s">
        <v>614</v>
      </c>
      <c r="G200" s="13" t="s">
        <v>615</v>
      </c>
      <c r="H200" s="13" t="s">
        <v>565</v>
      </c>
      <c r="I200" s="13">
        <v>3</v>
      </c>
      <c r="J200" s="13">
        <v>1</v>
      </c>
      <c r="K200" s="11">
        <f>IF(J200="","Assessment Pending",MAX(0,I200-J200))</f>
        <v>2</v>
      </c>
      <c r="L200" s="13" t="s">
        <v>899</v>
      </c>
      <c r="M200" s="13" t="s">
        <v>902</v>
      </c>
      <c r="N200" s="13" t="s">
        <v>2154</v>
      </c>
      <c r="O200" s="13"/>
    </row>
    <row r="201" spans="1:15" ht="45" customHeight="1">
      <c r="A201" s="14" t="s">
        <v>2353</v>
      </c>
      <c r="B201" s="14" t="s">
        <v>318</v>
      </c>
      <c r="C201" s="14" t="s">
        <v>1654</v>
      </c>
      <c r="D201" s="14" t="s">
        <v>487</v>
      </c>
      <c r="E201" s="14" t="s">
        <v>1647</v>
      </c>
      <c r="F201" s="14" t="s">
        <v>621</v>
      </c>
      <c r="G201" s="14" t="s">
        <v>622</v>
      </c>
      <c r="H201" s="14" t="s">
        <v>565</v>
      </c>
      <c r="I201" s="14">
        <v>3</v>
      </c>
      <c r="J201" s="14">
        <v>2</v>
      </c>
      <c r="K201" s="12">
        <f>IF(J201="","Assessment Pending",MAX(0,I201-J201))</f>
        <v>1</v>
      </c>
      <c r="L201" s="14" t="s">
        <v>2157</v>
      </c>
      <c r="M201" s="14" t="s">
        <v>910</v>
      </c>
      <c r="N201" s="14" t="s">
        <v>2154</v>
      </c>
      <c r="O201" s="14" t="s">
        <v>2155</v>
      </c>
    </row>
    <row r="202" spans="1:15" ht="45" customHeight="1">
      <c r="A202" s="13" t="s">
        <v>2354</v>
      </c>
      <c r="B202" s="13" t="s">
        <v>318</v>
      </c>
      <c r="C202" s="13" t="s">
        <v>1654</v>
      </c>
      <c r="D202" s="13" t="s">
        <v>487</v>
      </c>
      <c r="E202" s="13" t="s">
        <v>1647</v>
      </c>
      <c r="F202" s="13" t="s">
        <v>628</v>
      </c>
      <c r="G202" s="13" t="s">
        <v>629</v>
      </c>
      <c r="H202" s="13" t="s">
        <v>630</v>
      </c>
      <c r="I202" s="13">
        <v>3</v>
      </c>
      <c r="J202" s="13">
        <v>2</v>
      </c>
      <c r="K202" s="11">
        <f>IF(J202="","Assessment Pending",MAX(0,I202-J202))</f>
        <v>1</v>
      </c>
      <c r="L202" s="13" t="s">
        <v>2157</v>
      </c>
      <c r="M202" s="13" t="s">
        <v>916</v>
      </c>
      <c r="N202" s="13" t="s">
        <v>2154</v>
      </c>
      <c r="O202" s="13"/>
    </row>
    <row r="203" spans="1:15" ht="45" customHeight="1">
      <c r="A203" s="14" t="s">
        <v>2355</v>
      </c>
      <c r="B203" s="14" t="s">
        <v>318</v>
      </c>
      <c r="C203" s="14" t="s">
        <v>1654</v>
      </c>
      <c r="D203" s="14" t="s">
        <v>487</v>
      </c>
      <c r="E203" s="14" t="s">
        <v>1647</v>
      </c>
      <c r="F203" s="14" t="s">
        <v>636</v>
      </c>
      <c r="G203" s="14" t="s">
        <v>637</v>
      </c>
      <c r="H203" s="14" t="s">
        <v>630</v>
      </c>
      <c r="I203" s="14">
        <v>3</v>
      </c>
      <c r="J203" s="14">
        <v>2</v>
      </c>
      <c r="K203" s="12">
        <f>IF(J203="","Assessment Pending",MAX(0,I203-J203))</f>
        <v>1</v>
      </c>
      <c r="L203" s="14" t="s">
        <v>2157</v>
      </c>
      <c r="M203" s="14" t="s">
        <v>924</v>
      </c>
      <c r="N203" s="14" t="s">
        <v>2154</v>
      </c>
      <c r="O203" s="14" t="s">
        <v>2155</v>
      </c>
    </row>
    <row r="204" spans="1:15" ht="45" customHeight="1">
      <c r="A204" s="13" t="s">
        <v>2356</v>
      </c>
      <c r="B204" s="13" t="s">
        <v>318</v>
      </c>
      <c r="C204" s="13" t="s">
        <v>1656</v>
      </c>
      <c r="D204" s="13" t="s">
        <v>490</v>
      </c>
      <c r="E204" s="13" t="s">
        <v>1658</v>
      </c>
      <c r="F204" s="13" t="s">
        <v>563</v>
      </c>
      <c r="G204" s="13" t="s">
        <v>564</v>
      </c>
      <c r="H204" s="13" t="s">
        <v>565</v>
      </c>
      <c r="I204" s="13">
        <v>3</v>
      </c>
      <c r="J204" s="13"/>
      <c r="K204" s="11" t="str">
        <f>IF(J204="","Assessment Pending",MAX(0,I204-J204))</f>
        <v>Assessment Pending</v>
      </c>
      <c r="L204" s="13"/>
      <c r="M204" s="13" t="s">
        <v>912</v>
      </c>
      <c r="N204" s="13" t="s">
        <v>2176</v>
      </c>
      <c r="O204" s="13" t="s">
        <v>2155</v>
      </c>
    </row>
    <row r="205" spans="1:15" ht="45" customHeight="1">
      <c r="A205" s="14" t="s">
        <v>2357</v>
      </c>
      <c r="B205" s="14" t="s">
        <v>318</v>
      </c>
      <c r="C205" s="14" t="s">
        <v>1656</v>
      </c>
      <c r="D205" s="14" t="s">
        <v>490</v>
      </c>
      <c r="E205" s="14" t="s">
        <v>1658</v>
      </c>
      <c r="F205" s="14" t="s">
        <v>593</v>
      </c>
      <c r="G205" s="14" t="s">
        <v>594</v>
      </c>
      <c r="H205" s="14" t="s">
        <v>565</v>
      </c>
      <c r="I205" s="14">
        <v>3</v>
      </c>
      <c r="J205" s="14"/>
      <c r="K205" s="12" t="str">
        <f>IF(J205="","Assessment Pending",MAX(0,I205-J205))</f>
        <v>Assessment Pending</v>
      </c>
      <c r="L205" s="14"/>
      <c r="M205" s="14" t="s">
        <v>928</v>
      </c>
      <c r="N205" s="14" t="s">
        <v>2176</v>
      </c>
      <c r="O205" s="14"/>
    </row>
    <row r="206" spans="1:15" ht="45" customHeight="1">
      <c r="A206" s="13" t="s">
        <v>2358</v>
      </c>
      <c r="B206" s="13" t="s">
        <v>318</v>
      </c>
      <c r="C206" s="13" t="s">
        <v>1656</v>
      </c>
      <c r="D206" s="13" t="s">
        <v>490</v>
      </c>
      <c r="E206" s="13" t="s">
        <v>1658</v>
      </c>
      <c r="F206" s="13" t="s">
        <v>621</v>
      </c>
      <c r="G206" s="13" t="s">
        <v>622</v>
      </c>
      <c r="H206" s="13" t="s">
        <v>565</v>
      </c>
      <c r="I206" s="13">
        <v>3</v>
      </c>
      <c r="J206" s="13"/>
      <c r="K206" s="11" t="str">
        <f>IF(J206="","Assessment Pending",MAX(0,I206-J206))</f>
        <v>Assessment Pending</v>
      </c>
      <c r="L206" s="13"/>
      <c r="M206" s="13" t="s">
        <v>910</v>
      </c>
      <c r="N206" s="13" t="s">
        <v>2176</v>
      </c>
      <c r="O206" s="13" t="s">
        <v>2155</v>
      </c>
    </row>
    <row r="207" spans="1:15" ht="45" customHeight="1">
      <c r="A207" s="14" t="s">
        <v>2359</v>
      </c>
      <c r="B207" s="14" t="s">
        <v>318</v>
      </c>
      <c r="C207" s="14" t="s">
        <v>1656</v>
      </c>
      <c r="D207" s="14" t="s">
        <v>490</v>
      </c>
      <c r="E207" s="14" t="s">
        <v>1658</v>
      </c>
      <c r="F207" s="14" t="s">
        <v>628</v>
      </c>
      <c r="G207" s="14" t="s">
        <v>629</v>
      </c>
      <c r="H207" s="14" t="s">
        <v>630</v>
      </c>
      <c r="I207" s="14">
        <v>3</v>
      </c>
      <c r="J207" s="14"/>
      <c r="K207" s="12" t="str">
        <f>IF(J207="","Assessment Pending",MAX(0,I207-J207))</f>
        <v>Assessment Pending</v>
      </c>
      <c r="L207" s="14"/>
      <c r="M207" s="14" t="s">
        <v>916</v>
      </c>
      <c r="N207" s="14" t="s">
        <v>2176</v>
      </c>
      <c r="O207" s="14"/>
    </row>
    <row r="208" spans="1:15" ht="45" customHeight="1">
      <c r="A208" s="13" t="s">
        <v>2360</v>
      </c>
      <c r="B208" s="13" t="s">
        <v>318</v>
      </c>
      <c r="C208" s="13" t="s">
        <v>1656</v>
      </c>
      <c r="D208" s="13" t="s">
        <v>490</v>
      </c>
      <c r="E208" s="13" t="s">
        <v>1658</v>
      </c>
      <c r="F208" s="13" t="s">
        <v>636</v>
      </c>
      <c r="G208" s="13" t="s">
        <v>637</v>
      </c>
      <c r="H208" s="13" t="s">
        <v>630</v>
      </c>
      <c r="I208" s="13">
        <v>3</v>
      </c>
      <c r="J208" s="13"/>
      <c r="K208" s="11" t="str">
        <f>IF(J208="","Assessment Pending",MAX(0,I208-J208))</f>
        <v>Assessment Pending</v>
      </c>
      <c r="L208" s="13"/>
      <c r="M208" s="13" t="s">
        <v>924</v>
      </c>
      <c r="N208" s="13" t="s">
        <v>2176</v>
      </c>
      <c r="O208" s="13" t="s">
        <v>2155</v>
      </c>
    </row>
    <row r="209" spans="1:15" ht="45" customHeight="1">
      <c r="A209" s="14" t="s">
        <v>2361</v>
      </c>
      <c r="B209" s="14" t="s">
        <v>318</v>
      </c>
      <c r="C209" s="14" t="s">
        <v>1656</v>
      </c>
      <c r="D209" s="14" t="s">
        <v>490</v>
      </c>
      <c r="E209" s="14" t="s">
        <v>1658</v>
      </c>
      <c r="F209" s="14" t="s">
        <v>643</v>
      </c>
      <c r="G209" s="14" t="s">
        <v>644</v>
      </c>
      <c r="H209" s="14" t="s">
        <v>630</v>
      </c>
      <c r="I209" s="14">
        <v>3</v>
      </c>
      <c r="J209" s="14"/>
      <c r="K209" s="12" t="str">
        <f>IF(J209="","Assessment Pending",MAX(0,I209-J209))</f>
        <v>Assessment Pending</v>
      </c>
      <c r="L209" s="14"/>
      <c r="M209" s="14" t="s">
        <v>932</v>
      </c>
      <c r="N209" s="14" t="s">
        <v>2176</v>
      </c>
      <c r="O209" s="14"/>
    </row>
    <row r="210" spans="1:15" ht="45" customHeight="1">
      <c r="A210" s="13" t="s">
        <v>2362</v>
      </c>
      <c r="B210" s="13" t="s">
        <v>318</v>
      </c>
      <c r="C210" s="13" t="s">
        <v>1656</v>
      </c>
      <c r="D210" s="13" t="s">
        <v>490</v>
      </c>
      <c r="E210" s="13" t="s">
        <v>1658</v>
      </c>
      <c r="F210" s="13" t="s">
        <v>650</v>
      </c>
      <c r="G210" s="13" t="s">
        <v>651</v>
      </c>
      <c r="H210" s="13" t="s">
        <v>630</v>
      </c>
      <c r="I210" s="13">
        <v>3</v>
      </c>
      <c r="J210" s="13"/>
      <c r="K210" s="11" t="str">
        <f>IF(J210="","Assessment Pending",MAX(0,I210-J210))</f>
        <v>Assessment Pending</v>
      </c>
      <c r="L210" s="13"/>
      <c r="M210" s="13" t="s">
        <v>926</v>
      </c>
      <c r="N210" s="13" t="s">
        <v>2176</v>
      </c>
      <c r="O210" s="13"/>
    </row>
    <row r="211" spans="1:15" ht="45" customHeight="1">
      <c r="A211" s="14" t="s">
        <v>2363</v>
      </c>
      <c r="B211" s="14" t="s">
        <v>318</v>
      </c>
      <c r="C211" s="14" t="s">
        <v>1656</v>
      </c>
      <c r="D211" s="14" t="s">
        <v>490</v>
      </c>
      <c r="E211" s="14" t="s">
        <v>1658</v>
      </c>
      <c r="F211" s="14" t="s">
        <v>657</v>
      </c>
      <c r="G211" s="14" t="s">
        <v>658</v>
      </c>
      <c r="H211" s="14" t="s">
        <v>630</v>
      </c>
      <c r="I211" s="14">
        <v>3</v>
      </c>
      <c r="J211" s="14"/>
      <c r="K211" s="12" t="str">
        <f>IF(J211="","Assessment Pending",MAX(0,I211-J211))</f>
        <v>Assessment Pending</v>
      </c>
      <c r="L211" s="14"/>
      <c r="M211" s="14" t="s">
        <v>908</v>
      </c>
      <c r="N211" s="14" t="s">
        <v>2176</v>
      </c>
      <c r="O211" s="14"/>
    </row>
    <row r="212" spans="1:15" ht="45" customHeight="1">
      <c r="A212" s="13" t="s">
        <v>2364</v>
      </c>
      <c r="B212" s="13" t="s">
        <v>318</v>
      </c>
      <c r="C212" s="13" t="s">
        <v>1656</v>
      </c>
      <c r="D212" s="13" t="s">
        <v>490</v>
      </c>
      <c r="E212" s="13" t="s">
        <v>1658</v>
      </c>
      <c r="F212" s="13" t="s">
        <v>664</v>
      </c>
      <c r="G212" s="13" t="s">
        <v>665</v>
      </c>
      <c r="H212" s="13" t="s">
        <v>630</v>
      </c>
      <c r="I212" s="13">
        <v>3</v>
      </c>
      <c r="J212" s="13"/>
      <c r="K212" s="11" t="str">
        <f>IF(J212="","Assessment Pending",MAX(0,I212-J212))</f>
        <v>Assessment Pending</v>
      </c>
      <c r="L212" s="13"/>
      <c r="M212" s="13" t="s">
        <v>920</v>
      </c>
      <c r="N212" s="13" t="s">
        <v>2176</v>
      </c>
      <c r="O212" s="13"/>
    </row>
    <row r="213" spans="1:15" ht="45" customHeight="1">
      <c r="A213" s="14" t="s">
        <v>2365</v>
      </c>
      <c r="B213" s="14" t="s">
        <v>318</v>
      </c>
      <c r="C213" s="14" t="s">
        <v>1656</v>
      </c>
      <c r="D213" s="14" t="s">
        <v>490</v>
      </c>
      <c r="E213" s="14" t="s">
        <v>1658</v>
      </c>
      <c r="F213" s="14" t="s">
        <v>671</v>
      </c>
      <c r="G213" s="14" t="s">
        <v>672</v>
      </c>
      <c r="H213" s="14" t="s">
        <v>630</v>
      </c>
      <c r="I213" s="14">
        <v>3</v>
      </c>
      <c r="J213" s="14"/>
      <c r="K213" s="12" t="str">
        <f>IF(J213="","Assessment Pending",MAX(0,I213-J213))</f>
        <v>Assessment Pending</v>
      </c>
      <c r="L213" s="14"/>
      <c r="M213" s="14" t="s">
        <v>922</v>
      </c>
      <c r="N213" s="14" t="s">
        <v>2176</v>
      </c>
      <c r="O213" s="14"/>
    </row>
    <row r="214" spans="1:15" ht="45" customHeight="1">
      <c r="A214" s="13" t="s">
        <v>2366</v>
      </c>
      <c r="B214" s="13" t="s">
        <v>318</v>
      </c>
      <c r="C214" s="13" t="s">
        <v>1661</v>
      </c>
      <c r="D214" s="13" t="s">
        <v>490</v>
      </c>
      <c r="E214" s="13" t="s">
        <v>1658</v>
      </c>
      <c r="F214" s="13" t="s">
        <v>563</v>
      </c>
      <c r="G214" s="13" t="s">
        <v>564</v>
      </c>
      <c r="H214" s="13" t="s">
        <v>565</v>
      </c>
      <c r="I214" s="13">
        <v>3</v>
      </c>
      <c r="J214" s="13">
        <v>2</v>
      </c>
      <c r="K214" s="11">
        <f>IF(J214="","Assessment Pending",MAX(0,I214-J214))</f>
        <v>1</v>
      </c>
      <c r="L214" s="13" t="s">
        <v>2157</v>
      </c>
      <c r="M214" s="13" t="s">
        <v>912</v>
      </c>
      <c r="N214" s="13" t="s">
        <v>2154</v>
      </c>
      <c r="O214" s="13" t="s">
        <v>2155</v>
      </c>
    </row>
    <row r="215" spans="1:15" ht="45" customHeight="1">
      <c r="A215" s="14" t="s">
        <v>2367</v>
      </c>
      <c r="B215" s="14" t="s">
        <v>318</v>
      </c>
      <c r="C215" s="14" t="s">
        <v>1661</v>
      </c>
      <c r="D215" s="14" t="s">
        <v>490</v>
      </c>
      <c r="E215" s="14" t="s">
        <v>1658</v>
      </c>
      <c r="F215" s="14" t="s">
        <v>593</v>
      </c>
      <c r="G215" s="14" t="s">
        <v>594</v>
      </c>
      <c r="H215" s="14" t="s">
        <v>565</v>
      </c>
      <c r="I215" s="14">
        <v>3</v>
      </c>
      <c r="J215" s="14">
        <v>1</v>
      </c>
      <c r="K215" s="12">
        <f>IF(J215="","Assessment Pending",MAX(0,I215-J215))</f>
        <v>2</v>
      </c>
      <c r="L215" s="14" t="s">
        <v>899</v>
      </c>
      <c r="M215" s="14" t="s">
        <v>928</v>
      </c>
      <c r="N215" s="14" t="s">
        <v>2154</v>
      </c>
      <c r="O215" s="14"/>
    </row>
    <row r="216" spans="1:15" ht="45" customHeight="1">
      <c r="A216" s="13" t="s">
        <v>2368</v>
      </c>
      <c r="B216" s="13" t="s">
        <v>318</v>
      </c>
      <c r="C216" s="13" t="s">
        <v>1661</v>
      </c>
      <c r="D216" s="13" t="s">
        <v>490</v>
      </c>
      <c r="E216" s="13" t="s">
        <v>1658</v>
      </c>
      <c r="F216" s="13" t="s">
        <v>621</v>
      </c>
      <c r="G216" s="13" t="s">
        <v>622</v>
      </c>
      <c r="H216" s="13" t="s">
        <v>565</v>
      </c>
      <c r="I216" s="13">
        <v>3</v>
      </c>
      <c r="J216" s="13">
        <v>2</v>
      </c>
      <c r="K216" s="11">
        <f>IF(J216="","Assessment Pending",MAX(0,I216-J216))</f>
        <v>1</v>
      </c>
      <c r="L216" s="13" t="s">
        <v>2157</v>
      </c>
      <c r="M216" s="13" t="s">
        <v>910</v>
      </c>
      <c r="N216" s="13" t="s">
        <v>2154</v>
      </c>
      <c r="O216" s="13" t="s">
        <v>2155</v>
      </c>
    </row>
    <row r="217" spans="1:15" ht="45" customHeight="1">
      <c r="A217" s="14" t="s">
        <v>2369</v>
      </c>
      <c r="B217" s="14" t="s">
        <v>318</v>
      </c>
      <c r="C217" s="14" t="s">
        <v>1661</v>
      </c>
      <c r="D217" s="14" t="s">
        <v>490</v>
      </c>
      <c r="E217" s="14" t="s">
        <v>1658</v>
      </c>
      <c r="F217" s="14" t="s">
        <v>628</v>
      </c>
      <c r="G217" s="14" t="s">
        <v>629</v>
      </c>
      <c r="H217" s="14" t="s">
        <v>630</v>
      </c>
      <c r="I217" s="14">
        <v>3</v>
      </c>
      <c r="J217" s="14">
        <v>2</v>
      </c>
      <c r="K217" s="12">
        <f>IF(J217="","Assessment Pending",MAX(0,I217-J217))</f>
        <v>1</v>
      </c>
      <c r="L217" s="14" t="s">
        <v>2157</v>
      </c>
      <c r="M217" s="14" t="s">
        <v>916</v>
      </c>
      <c r="N217" s="14" t="s">
        <v>2154</v>
      </c>
      <c r="O217" s="14"/>
    </row>
    <row r="218" spans="1:15" ht="45" customHeight="1">
      <c r="A218" s="13" t="s">
        <v>2370</v>
      </c>
      <c r="B218" s="13" t="s">
        <v>318</v>
      </c>
      <c r="C218" s="13" t="s">
        <v>1661</v>
      </c>
      <c r="D218" s="13" t="s">
        <v>490</v>
      </c>
      <c r="E218" s="13" t="s">
        <v>1658</v>
      </c>
      <c r="F218" s="13" t="s">
        <v>636</v>
      </c>
      <c r="G218" s="13" t="s">
        <v>637</v>
      </c>
      <c r="H218" s="13" t="s">
        <v>630</v>
      </c>
      <c r="I218" s="13">
        <v>3</v>
      </c>
      <c r="J218" s="13">
        <v>2</v>
      </c>
      <c r="K218" s="11">
        <f>IF(J218="","Assessment Pending",MAX(0,I218-J218))</f>
        <v>1</v>
      </c>
      <c r="L218" s="13" t="s">
        <v>2157</v>
      </c>
      <c r="M218" s="13" t="s">
        <v>924</v>
      </c>
      <c r="N218" s="13" t="s">
        <v>2154</v>
      </c>
      <c r="O218" s="13" t="s">
        <v>2155</v>
      </c>
    </row>
    <row r="219" spans="1:15" ht="45" customHeight="1">
      <c r="A219" s="14" t="s">
        <v>2371</v>
      </c>
      <c r="B219" s="14" t="s">
        <v>318</v>
      </c>
      <c r="C219" s="14" t="s">
        <v>1661</v>
      </c>
      <c r="D219" s="14" t="s">
        <v>490</v>
      </c>
      <c r="E219" s="14" t="s">
        <v>1658</v>
      </c>
      <c r="F219" s="14" t="s">
        <v>643</v>
      </c>
      <c r="G219" s="14" t="s">
        <v>644</v>
      </c>
      <c r="H219" s="14" t="s">
        <v>630</v>
      </c>
      <c r="I219" s="14">
        <v>3</v>
      </c>
      <c r="J219" s="14">
        <v>2</v>
      </c>
      <c r="K219" s="12">
        <f>IF(J219="","Assessment Pending",MAX(0,I219-J219))</f>
        <v>1</v>
      </c>
      <c r="L219" s="14" t="s">
        <v>2157</v>
      </c>
      <c r="M219" s="14" t="s">
        <v>932</v>
      </c>
      <c r="N219" s="14" t="s">
        <v>2154</v>
      </c>
      <c r="O219" s="14"/>
    </row>
    <row r="220" spans="1:15" ht="45" customHeight="1">
      <c r="A220" s="13" t="s">
        <v>2372</v>
      </c>
      <c r="B220" s="13" t="s">
        <v>318</v>
      </c>
      <c r="C220" s="13" t="s">
        <v>1661</v>
      </c>
      <c r="D220" s="13" t="s">
        <v>490</v>
      </c>
      <c r="E220" s="13" t="s">
        <v>1658</v>
      </c>
      <c r="F220" s="13" t="s">
        <v>650</v>
      </c>
      <c r="G220" s="13" t="s">
        <v>651</v>
      </c>
      <c r="H220" s="13" t="s">
        <v>630</v>
      </c>
      <c r="I220" s="13">
        <v>3</v>
      </c>
      <c r="J220" s="13">
        <v>2</v>
      </c>
      <c r="K220" s="11">
        <f>IF(J220="","Assessment Pending",MAX(0,I220-J220))</f>
        <v>1</v>
      </c>
      <c r="L220" s="13" t="s">
        <v>2157</v>
      </c>
      <c r="M220" s="13" t="s">
        <v>926</v>
      </c>
      <c r="N220" s="13" t="s">
        <v>2154</v>
      </c>
      <c r="O220" s="13"/>
    </row>
    <row r="221" spans="1:15" ht="45" customHeight="1">
      <c r="A221" s="14" t="s">
        <v>2373</v>
      </c>
      <c r="B221" s="14" t="s">
        <v>318</v>
      </c>
      <c r="C221" s="14" t="s">
        <v>1661</v>
      </c>
      <c r="D221" s="14" t="s">
        <v>490</v>
      </c>
      <c r="E221" s="14" t="s">
        <v>1658</v>
      </c>
      <c r="F221" s="14" t="s">
        <v>657</v>
      </c>
      <c r="G221" s="14" t="s">
        <v>658</v>
      </c>
      <c r="H221" s="14" t="s">
        <v>630</v>
      </c>
      <c r="I221" s="14">
        <v>3</v>
      </c>
      <c r="J221" s="14">
        <v>2</v>
      </c>
      <c r="K221" s="12">
        <f>IF(J221="","Assessment Pending",MAX(0,I221-J221))</f>
        <v>1</v>
      </c>
      <c r="L221" s="14" t="s">
        <v>2157</v>
      </c>
      <c r="M221" s="14" t="s">
        <v>908</v>
      </c>
      <c r="N221" s="14" t="s">
        <v>2154</v>
      </c>
      <c r="O221" s="14"/>
    </row>
    <row r="222" spans="1:15" ht="45" customHeight="1">
      <c r="A222" s="13" t="s">
        <v>2374</v>
      </c>
      <c r="B222" s="13" t="s">
        <v>318</v>
      </c>
      <c r="C222" s="13" t="s">
        <v>1661</v>
      </c>
      <c r="D222" s="13" t="s">
        <v>490</v>
      </c>
      <c r="E222" s="13" t="s">
        <v>1658</v>
      </c>
      <c r="F222" s="13" t="s">
        <v>664</v>
      </c>
      <c r="G222" s="13" t="s">
        <v>665</v>
      </c>
      <c r="H222" s="13" t="s">
        <v>630</v>
      </c>
      <c r="I222" s="13">
        <v>3</v>
      </c>
      <c r="J222" s="13">
        <v>2</v>
      </c>
      <c r="K222" s="11">
        <f>IF(J222="","Assessment Pending",MAX(0,I222-J222))</f>
        <v>1</v>
      </c>
      <c r="L222" s="13" t="s">
        <v>2157</v>
      </c>
      <c r="M222" s="13" t="s">
        <v>920</v>
      </c>
      <c r="N222" s="13" t="s">
        <v>2154</v>
      </c>
      <c r="O222" s="13"/>
    </row>
    <row r="223" spans="1:15" ht="45" customHeight="1">
      <c r="A223" s="14" t="s">
        <v>2375</v>
      </c>
      <c r="B223" s="14" t="s">
        <v>318</v>
      </c>
      <c r="C223" s="14" t="s">
        <v>1661</v>
      </c>
      <c r="D223" s="14" t="s">
        <v>490</v>
      </c>
      <c r="E223" s="14" t="s">
        <v>1658</v>
      </c>
      <c r="F223" s="14" t="s">
        <v>671</v>
      </c>
      <c r="G223" s="14" t="s">
        <v>672</v>
      </c>
      <c r="H223" s="14" t="s">
        <v>630</v>
      </c>
      <c r="I223" s="14">
        <v>3</v>
      </c>
      <c r="J223" s="14">
        <v>2</v>
      </c>
      <c r="K223" s="12">
        <f>IF(J223="","Assessment Pending",MAX(0,I223-J223))</f>
        <v>1</v>
      </c>
      <c r="L223" s="14" t="s">
        <v>2157</v>
      </c>
      <c r="M223" s="14" t="s">
        <v>922</v>
      </c>
      <c r="N223" s="14" t="s">
        <v>2154</v>
      </c>
      <c r="O223" s="14"/>
    </row>
    <row r="224" spans="1:15" ht="45" customHeight="1">
      <c r="A224" s="13" t="s">
        <v>2376</v>
      </c>
      <c r="B224" s="13" t="s">
        <v>318</v>
      </c>
      <c r="C224" s="13" t="s">
        <v>1663</v>
      </c>
      <c r="D224" s="13" t="s">
        <v>490</v>
      </c>
      <c r="E224" s="13" t="s">
        <v>1658</v>
      </c>
      <c r="F224" s="13" t="s">
        <v>563</v>
      </c>
      <c r="G224" s="13" t="s">
        <v>564</v>
      </c>
      <c r="H224" s="13" t="s">
        <v>565</v>
      </c>
      <c r="I224" s="13">
        <v>3</v>
      </c>
      <c r="J224" s="13">
        <v>2</v>
      </c>
      <c r="K224" s="11">
        <f>IF(J224="","Assessment Pending",MAX(0,I224-J224))</f>
        <v>1</v>
      </c>
      <c r="L224" s="13" t="s">
        <v>2157</v>
      </c>
      <c r="M224" s="13" t="s">
        <v>912</v>
      </c>
      <c r="N224" s="13" t="s">
        <v>2154</v>
      </c>
      <c r="O224" s="13" t="s">
        <v>2155</v>
      </c>
    </row>
    <row r="225" spans="1:15" ht="45" customHeight="1">
      <c r="A225" s="14" t="s">
        <v>2377</v>
      </c>
      <c r="B225" s="14" t="s">
        <v>318</v>
      </c>
      <c r="C225" s="14" t="s">
        <v>1663</v>
      </c>
      <c r="D225" s="14" t="s">
        <v>490</v>
      </c>
      <c r="E225" s="14" t="s">
        <v>1658</v>
      </c>
      <c r="F225" s="14" t="s">
        <v>593</v>
      </c>
      <c r="G225" s="14" t="s">
        <v>594</v>
      </c>
      <c r="H225" s="14" t="s">
        <v>565</v>
      </c>
      <c r="I225" s="14">
        <v>3</v>
      </c>
      <c r="J225" s="14">
        <v>1</v>
      </c>
      <c r="K225" s="12">
        <f>IF(J225="","Assessment Pending",MAX(0,I225-J225))</f>
        <v>2</v>
      </c>
      <c r="L225" s="14" t="s">
        <v>899</v>
      </c>
      <c r="M225" s="14" t="s">
        <v>928</v>
      </c>
      <c r="N225" s="14" t="s">
        <v>2154</v>
      </c>
      <c r="O225" s="14"/>
    </row>
    <row r="226" spans="1:15" ht="45" customHeight="1">
      <c r="A226" s="13" t="s">
        <v>2378</v>
      </c>
      <c r="B226" s="13" t="s">
        <v>318</v>
      </c>
      <c r="C226" s="13" t="s">
        <v>1663</v>
      </c>
      <c r="D226" s="13" t="s">
        <v>490</v>
      </c>
      <c r="E226" s="13" t="s">
        <v>1658</v>
      </c>
      <c r="F226" s="13" t="s">
        <v>621</v>
      </c>
      <c r="G226" s="13" t="s">
        <v>622</v>
      </c>
      <c r="H226" s="13" t="s">
        <v>565</v>
      </c>
      <c r="I226" s="13">
        <v>3</v>
      </c>
      <c r="J226" s="13">
        <v>1</v>
      </c>
      <c r="K226" s="11">
        <f>IF(J226="","Assessment Pending",MAX(0,I226-J226))</f>
        <v>2</v>
      </c>
      <c r="L226" s="13" t="s">
        <v>899</v>
      </c>
      <c r="M226" s="13" t="s">
        <v>910</v>
      </c>
      <c r="N226" s="13" t="s">
        <v>2154</v>
      </c>
      <c r="O226" s="13" t="s">
        <v>2155</v>
      </c>
    </row>
    <row r="227" spans="1:15" ht="45" customHeight="1">
      <c r="A227" s="14" t="s">
        <v>2379</v>
      </c>
      <c r="B227" s="14" t="s">
        <v>318</v>
      </c>
      <c r="C227" s="14" t="s">
        <v>1663</v>
      </c>
      <c r="D227" s="14" t="s">
        <v>490</v>
      </c>
      <c r="E227" s="14" t="s">
        <v>1658</v>
      </c>
      <c r="F227" s="14" t="s">
        <v>628</v>
      </c>
      <c r="G227" s="14" t="s">
        <v>629</v>
      </c>
      <c r="H227" s="14" t="s">
        <v>630</v>
      </c>
      <c r="I227" s="14">
        <v>3</v>
      </c>
      <c r="J227" s="14">
        <v>1</v>
      </c>
      <c r="K227" s="12">
        <f>IF(J227="","Assessment Pending",MAX(0,I227-J227))</f>
        <v>2</v>
      </c>
      <c r="L227" s="14" t="s">
        <v>899</v>
      </c>
      <c r="M227" s="14" t="s">
        <v>916</v>
      </c>
      <c r="N227" s="14" t="s">
        <v>2154</v>
      </c>
      <c r="O227" s="14"/>
    </row>
    <row r="228" spans="1:15" ht="45" customHeight="1">
      <c r="A228" s="13" t="s">
        <v>2380</v>
      </c>
      <c r="B228" s="13" t="s">
        <v>318</v>
      </c>
      <c r="C228" s="13" t="s">
        <v>1663</v>
      </c>
      <c r="D228" s="13" t="s">
        <v>490</v>
      </c>
      <c r="E228" s="13" t="s">
        <v>1658</v>
      </c>
      <c r="F228" s="13" t="s">
        <v>636</v>
      </c>
      <c r="G228" s="13" t="s">
        <v>637</v>
      </c>
      <c r="H228" s="13" t="s">
        <v>630</v>
      </c>
      <c r="I228" s="13">
        <v>3</v>
      </c>
      <c r="J228" s="13">
        <v>1</v>
      </c>
      <c r="K228" s="11">
        <f>IF(J228="","Assessment Pending",MAX(0,I228-J228))</f>
        <v>2</v>
      </c>
      <c r="L228" s="13" t="s">
        <v>899</v>
      </c>
      <c r="M228" s="13" t="s">
        <v>924</v>
      </c>
      <c r="N228" s="13" t="s">
        <v>2154</v>
      </c>
      <c r="O228" s="13" t="s">
        <v>2155</v>
      </c>
    </row>
    <row r="229" spans="1:15" ht="45" customHeight="1">
      <c r="A229" s="14" t="s">
        <v>2381</v>
      </c>
      <c r="B229" s="14" t="s">
        <v>318</v>
      </c>
      <c r="C229" s="14" t="s">
        <v>1663</v>
      </c>
      <c r="D229" s="14" t="s">
        <v>490</v>
      </c>
      <c r="E229" s="14" t="s">
        <v>1658</v>
      </c>
      <c r="F229" s="14" t="s">
        <v>643</v>
      </c>
      <c r="G229" s="14" t="s">
        <v>644</v>
      </c>
      <c r="H229" s="14" t="s">
        <v>630</v>
      </c>
      <c r="I229" s="14">
        <v>3</v>
      </c>
      <c r="J229" s="14">
        <v>1</v>
      </c>
      <c r="K229" s="12">
        <f>IF(J229="","Assessment Pending",MAX(0,I229-J229))</f>
        <v>2</v>
      </c>
      <c r="L229" s="14" t="s">
        <v>899</v>
      </c>
      <c r="M229" s="14" t="s">
        <v>932</v>
      </c>
      <c r="N229" s="14" t="s">
        <v>2154</v>
      </c>
      <c r="O229" s="14"/>
    </row>
    <row r="230" spans="1:15" ht="45" customHeight="1">
      <c r="A230" s="13" t="s">
        <v>2382</v>
      </c>
      <c r="B230" s="13" t="s">
        <v>318</v>
      </c>
      <c r="C230" s="13" t="s">
        <v>1663</v>
      </c>
      <c r="D230" s="13" t="s">
        <v>490</v>
      </c>
      <c r="E230" s="13" t="s">
        <v>1658</v>
      </c>
      <c r="F230" s="13" t="s">
        <v>650</v>
      </c>
      <c r="G230" s="13" t="s">
        <v>651</v>
      </c>
      <c r="H230" s="13" t="s">
        <v>630</v>
      </c>
      <c r="I230" s="13">
        <v>3</v>
      </c>
      <c r="J230" s="13">
        <v>1</v>
      </c>
      <c r="K230" s="11">
        <f>IF(J230="","Assessment Pending",MAX(0,I230-J230))</f>
        <v>2</v>
      </c>
      <c r="L230" s="13" t="s">
        <v>899</v>
      </c>
      <c r="M230" s="13" t="s">
        <v>926</v>
      </c>
      <c r="N230" s="13" t="s">
        <v>2154</v>
      </c>
      <c r="O230" s="13"/>
    </row>
    <row r="231" spans="1:15" ht="45" customHeight="1">
      <c r="A231" s="14" t="s">
        <v>2383</v>
      </c>
      <c r="B231" s="14" t="s">
        <v>318</v>
      </c>
      <c r="C231" s="14" t="s">
        <v>1663</v>
      </c>
      <c r="D231" s="14" t="s">
        <v>490</v>
      </c>
      <c r="E231" s="14" t="s">
        <v>1658</v>
      </c>
      <c r="F231" s="14" t="s">
        <v>657</v>
      </c>
      <c r="G231" s="14" t="s">
        <v>658</v>
      </c>
      <c r="H231" s="14" t="s">
        <v>630</v>
      </c>
      <c r="I231" s="14">
        <v>3</v>
      </c>
      <c r="J231" s="14">
        <v>1</v>
      </c>
      <c r="K231" s="12">
        <f>IF(J231="","Assessment Pending",MAX(0,I231-J231))</f>
        <v>2</v>
      </c>
      <c r="L231" s="14" t="s">
        <v>899</v>
      </c>
      <c r="M231" s="14" t="s">
        <v>908</v>
      </c>
      <c r="N231" s="14" t="s">
        <v>2154</v>
      </c>
      <c r="O231" s="14"/>
    </row>
    <row r="232" spans="1:15" ht="45" customHeight="1">
      <c r="A232" s="13" t="s">
        <v>2384</v>
      </c>
      <c r="B232" s="13" t="s">
        <v>318</v>
      </c>
      <c r="C232" s="13" t="s">
        <v>1663</v>
      </c>
      <c r="D232" s="13" t="s">
        <v>490</v>
      </c>
      <c r="E232" s="13" t="s">
        <v>1658</v>
      </c>
      <c r="F232" s="13" t="s">
        <v>664</v>
      </c>
      <c r="G232" s="13" t="s">
        <v>665</v>
      </c>
      <c r="H232" s="13" t="s">
        <v>630</v>
      </c>
      <c r="I232" s="13">
        <v>3</v>
      </c>
      <c r="J232" s="13">
        <v>1</v>
      </c>
      <c r="K232" s="11">
        <f>IF(J232="","Assessment Pending",MAX(0,I232-J232))</f>
        <v>2</v>
      </c>
      <c r="L232" s="13" t="s">
        <v>899</v>
      </c>
      <c r="M232" s="13" t="s">
        <v>920</v>
      </c>
      <c r="N232" s="13" t="s">
        <v>2154</v>
      </c>
      <c r="O232" s="13"/>
    </row>
    <row r="233" spans="1:15" ht="45" customHeight="1">
      <c r="A233" s="14" t="s">
        <v>2385</v>
      </c>
      <c r="B233" s="14" t="s">
        <v>318</v>
      </c>
      <c r="C233" s="14" t="s">
        <v>1663</v>
      </c>
      <c r="D233" s="14" t="s">
        <v>490</v>
      </c>
      <c r="E233" s="14" t="s">
        <v>1658</v>
      </c>
      <c r="F233" s="14" t="s">
        <v>671</v>
      </c>
      <c r="G233" s="14" t="s">
        <v>672</v>
      </c>
      <c r="H233" s="14" t="s">
        <v>630</v>
      </c>
      <c r="I233" s="14">
        <v>3</v>
      </c>
      <c r="J233" s="14">
        <v>1</v>
      </c>
      <c r="K233" s="12">
        <f>IF(J233="","Assessment Pending",MAX(0,I233-J233))</f>
        <v>2</v>
      </c>
      <c r="L233" s="14" t="s">
        <v>899</v>
      </c>
      <c r="M233" s="14" t="s">
        <v>922</v>
      </c>
      <c r="N233" s="14" t="s">
        <v>2154</v>
      </c>
      <c r="O233" s="14"/>
    </row>
    <row r="234" spans="1:15" ht="45" customHeight="1">
      <c r="A234" s="13" t="s">
        <v>2386</v>
      </c>
      <c r="B234" s="13" t="s">
        <v>318</v>
      </c>
      <c r="C234" s="13" t="s">
        <v>1665</v>
      </c>
      <c r="D234" s="13" t="s">
        <v>490</v>
      </c>
      <c r="E234" s="13" t="s">
        <v>1658</v>
      </c>
      <c r="F234" s="13" t="s">
        <v>563</v>
      </c>
      <c r="G234" s="13" t="s">
        <v>564</v>
      </c>
      <c r="H234" s="13" t="s">
        <v>565</v>
      </c>
      <c r="I234" s="13">
        <v>3</v>
      </c>
      <c r="J234" s="13"/>
      <c r="K234" s="11" t="str">
        <f>IF(J234="","Assessment Pending",MAX(0,I234-J234))</f>
        <v>Assessment Pending</v>
      </c>
      <c r="L234" s="13"/>
      <c r="M234" s="13" t="s">
        <v>912</v>
      </c>
      <c r="N234" s="13" t="s">
        <v>2176</v>
      </c>
      <c r="O234" s="13" t="s">
        <v>2155</v>
      </c>
    </row>
    <row r="235" spans="1:15" ht="45" customHeight="1">
      <c r="A235" s="14" t="s">
        <v>2387</v>
      </c>
      <c r="B235" s="14" t="s">
        <v>318</v>
      </c>
      <c r="C235" s="14" t="s">
        <v>1665</v>
      </c>
      <c r="D235" s="14" t="s">
        <v>490</v>
      </c>
      <c r="E235" s="14" t="s">
        <v>1658</v>
      </c>
      <c r="F235" s="14" t="s">
        <v>593</v>
      </c>
      <c r="G235" s="14" t="s">
        <v>594</v>
      </c>
      <c r="H235" s="14" t="s">
        <v>565</v>
      </c>
      <c r="I235" s="14">
        <v>3</v>
      </c>
      <c r="J235" s="14"/>
      <c r="K235" s="12" t="str">
        <f>IF(J235="","Assessment Pending",MAX(0,I235-J235))</f>
        <v>Assessment Pending</v>
      </c>
      <c r="L235" s="14"/>
      <c r="M235" s="14" t="s">
        <v>928</v>
      </c>
      <c r="N235" s="14" t="s">
        <v>2176</v>
      </c>
      <c r="O235" s="14"/>
    </row>
    <row r="236" spans="1:15" ht="45" customHeight="1">
      <c r="A236" s="13" t="s">
        <v>2388</v>
      </c>
      <c r="B236" s="13" t="s">
        <v>318</v>
      </c>
      <c r="C236" s="13" t="s">
        <v>1665</v>
      </c>
      <c r="D236" s="13" t="s">
        <v>490</v>
      </c>
      <c r="E236" s="13" t="s">
        <v>1658</v>
      </c>
      <c r="F236" s="13" t="s">
        <v>621</v>
      </c>
      <c r="G236" s="13" t="s">
        <v>622</v>
      </c>
      <c r="H236" s="13" t="s">
        <v>565</v>
      </c>
      <c r="I236" s="13">
        <v>3</v>
      </c>
      <c r="J236" s="13"/>
      <c r="K236" s="11" t="str">
        <f>IF(J236="","Assessment Pending",MAX(0,I236-J236))</f>
        <v>Assessment Pending</v>
      </c>
      <c r="L236" s="13"/>
      <c r="M236" s="13" t="s">
        <v>910</v>
      </c>
      <c r="N236" s="13" t="s">
        <v>2176</v>
      </c>
      <c r="O236" s="13" t="s">
        <v>2155</v>
      </c>
    </row>
    <row r="237" spans="1:15" ht="45" customHeight="1">
      <c r="A237" s="14" t="s">
        <v>2389</v>
      </c>
      <c r="B237" s="14" t="s">
        <v>318</v>
      </c>
      <c r="C237" s="14" t="s">
        <v>1665</v>
      </c>
      <c r="D237" s="14" t="s">
        <v>490</v>
      </c>
      <c r="E237" s="14" t="s">
        <v>1658</v>
      </c>
      <c r="F237" s="14" t="s">
        <v>628</v>
      </c>
      <c r="G237" s="14" t="s">
        <v>629</v>
      </c>
      <c r="H237" s="14" t="s">
        <v>630</v>
      </c>
      <c r="I237" s="14">
        <v>3</v>
      </c>
      <c r="J237" s="14"/>
      <c r="K237" s="12" t="str">
        <f>IF(J237="","Assessment Pending",MAX(0,I237-J237))</f>
        <v>Assessment Pending</v>
      </c>
      <c r="L237" s="14"/>
      <c r="M237" s="14" t="s">
        <v>916</v>
      </c>
      <c r="N237" s="14" t="s">
        <v>2176</v>
      </c>
      <c r="O237" s="14"/>
    </row>
    <row r="238" spans="1:15" ht="45" customHeight="1">
      <c r="A238" s="13" t="s">
        <v>2390</v>
      </c>
      <c r="B238" s="13" t="s">
        <v>318</v>
      </c>
      <c r="C238" s="13" t="s">
        <v>1665</v>
      </c>
      <c r="D238" s="13" t="s">
        <v>490</v>
      </c>
      <c r="E238" s="13" t="s">
        <v>1658</v>
      </c>
      <c r="F238" s="13" t="s">
        <v>636</v>
      </c>
      <c r="G238" s="13" t="s">
        <v>637</v>
      </c>
      <c r="H238" s="13" t="s">
        <v>630</v>
      </c>
      <c r="I238" s="13">
        <v>3</v>
      </c>
      <c r="J238" s="13"/>
      <c r="K238" s="11" t="str">
        <f>IF(J238="","Assessment Pending",MAX(0,I238-J238))</f>
        <v>Assessment Pending</v>
      </c>
      <c r="L238" s="13"/>
      <c r="M238" s="13" t="s">
        <v>924</v>
      </c>
      <c r="N238" s="13" t="s">
        <v>2176</v>
      </c>
      <c r="O238" s="13" t="s">
        <v>2155</v>
      </c>
    </row>
    <row r="239" spans="1:15" ht="45" customHeight="1">
      <c r="A239" s="14" t="s">
        <v>2391</v>
      </c>
      <c r="B239" s="14" t="s">
        <v>318</v>
      </c>
      <c r="C239" s="14" t="s">
        <v>1665</v>
      </c>
      <c r="D239" s="14" t="s">
        <v>490</v>
      </c>
      <c r="E239" s="14" t="s">
        <v>1658</v>
      </c>
      <c r="F239" s="14" t="s">
        <v>643</v>
      </c>
      <c r="G239" s="14" t="s">
        <v>644</v>
      </c>
      <c r="H239" s="14" t="s">
        <v>630</v>
      </c>
      <c r="I239" s="14">
        <v>3</v>
      </c>
      <c r="J239" s="14"/>
      <c r="K239" s="12" t="str">
        <f>IF(J239="","Assessment Pending",MAX(0,I239-J239))</f>
        <v>Assessment Pending</v>
      </c>
      <c r="L239" s="14"/>
      <c r="M239" s="14" t="s">
        <v>932</v>
      </c>
      <c r="N239" s="14" t="s">
        <v>2176</v>
      </c>
      <c r="O239" s="14"/>
    </row>
    <row r="240" spans="1:15" ht="45" customHeight="1">
      <c r="A240" s="13" t="s">
        <v>2392</v>
      </c>
      <c r="B240" s="13" t="s">
        <v>318</v>
      </c>
      <c r="C240" s="13" t="s">
        <v>1665</v>
      </c>
      <c r="D240" s="13" t="s">
        <v>490</v>
      </c>
      <c r="E240" s="13" t="s">
        <v>1658</v>
      </c>
      <c r="F240" s="13" t="s">
        <v>650</v>
      </c>
      <c r="G240" s="13" t="s">
        <v>651</v>
      </c>
      <c r="H240" s="13" t="s">
        <v>630</v>
      </c>
      <c r="I240" s="13">
        <v>3</v>
      </c>
      <c r="J240" s="13"/>
      <c r="K240" s="11" t="str">
        <f>IF(J240="","Assessment Pending",MAX(0,I240-J240))</f>
        <v>Assessment Pending</v>
      </c>
      <c r="L240" s="13"/>
      <c r="M240" s="13" t="s">
        <v>926</v>
      </c>
      <c r="N240" s="13" t="s">
        <v>2176</v>
      </c>
      <c r="O240" s="13"/>
    </row>
    <row r="241" spans="1:15" ht="45" customHeight="1">
      <c r="A241" s="14" t="s">
        <v>2393</v>
      </c>
      <c r="B241" s="14" t="s">
        <v>318</v>
      </c>
      <c r="C241" s="14" t="s">
        <v>1665</v>
      </c>
      <c r="D241" s="14" t="s">
        <v>490</v>
      </c>
      <c r="E241" s="14" t="s">
        <v>1658</v>
      </c>
      <c r="F241" s="14" t="s">
        <v>657</v>
      </c>
      <c r="G241" s="14" t="s">
        <v>658</v>
      </c>
      <c r="H241" s="14" t="s">
        <v>630</v>
      </c>
      <c r="I241" s="14">
        <v>3</v>
      </c>
      <c r="J241" s="14"/>
      <c r="K241" s="12" t="str">
        <f>IF(J241="","Assessment Pending",MAX(0,I241-J241))</f>
        <v>Assessment Pending</v>
      </c>
      <c r="L241" s="14"/>
      <c r="M241" s="14" t="s">
        <v>908</v>
      </c>
      <c r="N241" s="14" t="s">
        <v>2176</v>
      </c>
      <c r="O241" s="14"/>
    </row>
    <row r="242" spans="1:15" ht="45" customHeight="1">
      <c r="A242" s="13" t="s">
        <v>2394</v>
      </c>
      <c r="B242" s="13" t="s">
        <v>318</v>
      </c>
      <c r="C242" s="13" t="s">
        <v>1665</v>
      </c>
      <c r="D242" s="13" t="s">
        <v>490</v>
      </c>
      <c r="E242" s="13" t="s">
        <v>1658</v>
      </c>
      <c r="F242" s="13" t="s">
        <v>664</v>
      </c>
      <c r="G242" s="13" t="s">
        <v>665</v>
      </c>
      <c r="H242" s="13" t="s">
        <v>630</v>
      </c>
      <c r="I242" s="13">
        <v>3</v>
      </c>
      <c r="J242" s="13"/>
      <c r="K242" s="11" t="str">
        <f>IF(J242="","Assessment Pending",MAX(0,I242-J242))</f>
        <v>Assessment Pending</v>
      </c>
      <c r="L242" s="13"/>
      <c r="M242" s="13" t="s">
        <v>920</v>
      </c>
      <c r="N242" s="13" t="s">
        <v>2176</v>
      </c>
      <c r="O242" s="13"/>
    </row>
    <row r="243" spans="1:15" ht="45" customHeight="1">
      <c r="A243" s="14" t="s">
        <v>2395</v>
      </c>
      <c r="B243" s="14" t="s">
        <v>318</v>
      </c>
      <c r="C243" s="14" t="s">
        <v>1665</v>
      </c>
      <c r="D243" s="14" t="s">
        <v>490</v>
      </c>
      <c r="E243" s="14" t="s">
        <v>1658</v>
      </c>
      <c r="F243" s="14" t="s">
        <v>671</v>
      </c>
      <c r="G243" s="14" t="s">
        <v>672</v>
      </c>
      <c r="H243" s="14" t="s">
        <v>630</v>
      </c>
      <c r="I243" s="14">
        <v>3</v>
      </c>
      <c r="J243" s="14"/>
      <c r="K243" s="12" t="str">
        <f>IF(J243="","Assessment Pending",MAX(0,I243-J243))</f>
        <v>Assessment Pending</v>
      </c>
      <c r="L243" s="14"/>
      <c r="M243" s="14" t="s">
        <v>922</v>
      </c>
      <c r="N243" s="14" t="s">
        <v>2176</v>
      </c>
      <c r="O243" s="14"/>
    </row>
    <row r="244" spans="1:15" ht="45" customHeight="1">
      <c r="A244" s="13" t="s">
        <v>2396</v>
      </c>
      <c r="B244" s="13" t="s">
        <v>318</v>
      </c>
      <c r="C244" s="13" t="s">
        <v>1667</v>
      </c>
      <c r="D244" s="13" t="s">
        <v>492</v>
      </c>
      <c r="E244" s="13" t="s">
        <v>1669</v>
      </c>
      <c r="F244" s="13" t="s">
        <v>678</v>
      </c>
      <c r="G244" s="13" t="s">
        <v>564</v>
      </c>
      <c r="H244" s="13" t="s">
        <v>565</v>
      </c>
      <c r="I244" s="13">
        <v>3</v>
      </c>
      <c r="J244" s="13"/>
      <c r="K244" s="11" t="str">
        <f>IF(J244="","Assessment Pending",MAX(0,I244-J244))</f>
        <v>Assessment Pending</v>
      </c>
      <c r="L244" s="13"/>
      <c r="M244" s="13" t="s">
        <v>948</v>
      </c>
      <c r="N244" s="13" t="s">
        <v>2176</v>
      </c>
      <c r="O244" s="13" t="s">
        <v>2155</v>
      </c>
    </row>
    <row r="245" spans="1:15" ht="45" customHeight="1">
      <c r="A245" s="14" t="s">
        <v>2397</v>
      </c>
      <c r="B245" s="14" t="s">
        <v>318</v>
      </c>
      <c r="C245" s="14" t="s">
        <v>1667</v>
      </c>
      <c r="D245" s="14" t="s">
        <v>492</v>
      </c>
      <c r="E245" s="14" t="s">
        <v>1669</v>
      </c>
      <c r="F245" s="14" t="s">
        <v>683</v>
      </c>
      <c r="G245" s="14" t="s">
        <v>684</v>
      </c>
      <c r="H245" s="14" t="s">
        <v>565</v>
      </c>
      <c r="I245" s="14">
        <v>3</v>
      </c>
      <c r="J245" s="14"/>
      <c r="K245" s="12" t="str">
        <f>IF(J245="","Assessment Pending",MAX(0,I245-J245))</f>
        <v>Assessment Pending</v>
      </c>
      <c r="L245" s="14"/>
      <c r="M245" s="14" t="s">
        <v>956</v>
      </c>
      <c r="N245" s="14" t="s">
        <v>2176</v>
      </c>
      <c r="O245" s="14"/>
    </row>
    <row r="246" spans="1:15" ht="45" customHeight="1">
      <c r="A246" s="13" t="s">
        <v>2398</v>
      </c>
      <c r="B246" s="13" t="s">
        <v>318</v>
      </c>
      <c r="C246" s="13" t="s">
        <v>1667</v>
      </c>
      <c r="D246" s="13" t="s">
        <v>492</v>
      </c>
      <c r="E246" s="13" t="s">
        <v>1669</v>
      </c>
      <c r="F246" s="13" t="s">
        <v>690</v>
      </c>
      <c r="G246" s="13" t="s">
        <v>691</v>
      </c>
      <c r="H246" s="13" t="s">
        <v>565</v>
      </c>
      <c r="I246" s="13">
        <v>3</v>
      </c>
      <c r="J246" s="13"/>
      <c r="K246" s="11" t="str">
        <f>IF(J246="","Assessment Pending",MAX(0,I246-J246))</f>
        <v>Assessment Pending</v>
      </c>
      <c r="L246" s="13"/>
      <c r="M246" s="13" t="s">
        <v>951</v>
      </c>
      <c r="N246" s="13" t="s">
        <v>2176</v>
      </c>
      <c r="O246" s="13"/>
    </row>
    <row r="247" spans="1:15" ht="45" customHeight="1">
      <c r="A247" s="14" t="s">
        <v>2399</v>
      </c>
      <c r="B247" s="14" t="s">
        <v>318</v>
      </c>
      <c r="C247" s="14" t="s">
        <v>1667</v>
      </c>
      <c r="D247" s="14" t="s">
        <v>492</v>
      </c>
      <c r="E247" s="14" t="s">
        <v>1669</v>
      </c>
      <c r="F247" s="14" t="s">
        <v>697</v>
      </c>
      <c r="G247" s="14" t="s">
        <v>698</v>
      </c>
      <c r="H247" s="14" t="s">
        <v>565</v>
      </c>
      <c r="I247" s="14">
        <v>3</v>
      </c>
      <c r="J247" s="14"/>
      <c r="K247" s="12" t="str">
        <f>IF(J247="","Assessment Pending",MAX(0,I247-J247))</f>
        <v>Assessment Pending</v>
      </c>
      <c r="L247" s="14"/>
      <c r="M247" s="14" t="s">
        <v>944</v>
      </c>
      <c r="N247" s="14" t="s">
        <v>2176</v>
      </c>
      <c r="O247" s="14"/>
    </row>
    <row r="248" spans="1:15" ht="45" customHeight="1">
      <c r="A248" s="13" t="s">
        <v>2400</v>
      </c>
      <c r="B248" s="13" t="s">
        <v>318</v>
      </c>
      <c r="C248" s="13" t="s">
        <v>1667</v>
      </c>
      <c r="D248" s="13" t="s">
        <v>492</v>
      </c>
      <c r="E248" s="13" t="s">
        <v>1669</v>
      </c>
      <c r="F248" s="13" t="s">
        <v>704</v>
      </c>
      <c r="G248" s="13" t="s">
        <v>705</v>
      </c>
      <c r="H248" s="13" t="s">
        <v>565</v>
      </c>
      <c r="I248" s="13">
        <v>3</v>
      </c>
      <c r="J248" s="13"/>
      <c r="K248" s="11" t="str">
        <f>IF(J248="","Assessment Pending",MAX(0,I248-J248))</f>
        <v>Assessment Pending</v>
      </c>
      <c r="L248" s="13"/>
      <c r="M248" s="13" t="s">
        <v>960</v>
      </c>
      <c r="N248" s="13" t="s">
        <v>2176</v>
      </c>
      <c r="O248" s="13"/>
    </row>
    <row r="249" spans="1:15" ht="45" customHeight="1">
      <c r="A249" s="14" t="s">
        <v>2401</v>
      </c>
      <c r="B249" s="14" t="s">
        <v>318</v>
      </c>
      <c r="C249" s="14" t="s">
        <v>1667</v>
      </c>
      <c r="D249" s="14" t="s">
        <v>492</v>
      </c>
      <c r="E249" s="14" t="s">
        <v>1669</v>
      </c>
      <c r="F249" s="14" t="s">
        <v>711</v>
      </c>
      <c r="G249" s="14" t="s">
        <v>712</v>
      </c>
      <c r="H249" s="14" t="s">
        <v>565</v>
      </c>
      <c r="I249" s="14">
        <v>3</v>
      </c>
      <c r="J249" s="14"/>
      <c r="K249" s="12" t="str">
        <f>IF(J249="","Assessment Pending",MAX(0,I249-J249))</f>
        <v>Assessment Pending</v>
      </c>
      <c r="L249" s="14"/>
      <c r="M249" s="14" t="s">
        <v>934</v>
      </c>
      <c r="N249" s="14" t="s">
        <v>2176</v>
      </c>
      <c r="O249" s="14"/>
    </row>
    <row r="250" spans="1:15" ht="45" customHeight="1">
      <c r="A250" s="13" t="s">
        <v>2402</v>
      </c>
      <c r="B250" s="13" t="s">
        <v>318</v>
      </c>
      <c r="C250" s="13" t="s">
        <v>1667</v>
      </c>
      <c r="D250" s="13" t="s">
        <v>492</v>
      </c>
      <c r="E250" s="13" t="s">
        <v>1669</v>
      </c>
      <c r="F250" s="13" t="s">
        <v>718</v>
      </c>
      <c r="G250" s="13" t="s">
        <v>719</v>
      </c>
      <c r="H250" s="13" t="s">
        <v>565</v>
      </c>
      <c r="I250" s="13">
        <v>3</v>
      </c>
      <c r="J250" s="13"/>
      <c r="K250" s="11" t="str">
        <f>IF(J250="","Assessment Pending",MAX(0,I250-J250))</f>
        <v>Assessment Pending</v>
      </c>
      <c r="L250" s="13"/>
      <c r="M250" s="13" t="s">
        <v>937</v>
      </c>
      <c r="N250" s="13" t="s">
        <v>2176</v>
      </c>
      <c r="O250" s="13"/>
    </row>
    <row r="251" spans="1:15" ht="45" customHeight="1">
      <c r="A251" s="14" t="s">
        <v>2403</v>
      </c>
      <c r="B251" s="14" t="s">
        <v>318</v>
      </c>
      <c r="C251" s="14" t="s">
        <v>1667</v>
      </c>
      <c r="D251" s="14" t="s">
        <v>492</v>
      </c>
      <c r="E251" s="14" t="s">
        <v>1669</v>
      </c>
      <c r="F251" s="14" t="s">
        <v>725</v>
      </c>
      <c r="G251" s="14" t="s">
        <v>726</v>
      </c>
      <c r="H251" s="14" t="s">
        <v>565</v>
      </c>
      <c r="I251" s="14">
        <v>3</v>
      </c>
      <c r="J251" s="14"/>
      <c r="K251" s="12" t="str">
        <f>IF(J251="","Assessment Pending",MAX(0,I251-J251))</f>
        <v>Assessment Pending</v>
      </c>
      <c r="L251" s="14"/>
      <c r="M251" s="14" t="s">
        <v>942</v>
      </c>
      <c r="N251" s="14" t="s">
        <v>2176</v>
      </c>
      <c r="O251" s="14"/>
    </row>
    <row r="252" spans="1:15" ht="45" customHeight="1">
      <c r="A252" s="13" t="s">
        <v>2404</v>
      </c>
      <c r="B252" s="13" t="s">
        <v>318</v>
      </c>
      <c r="C252" s="13" t="s">
        <v>1667</v>
      </c>
      <c r="D252" s="13" t="s">
        <v>492</v>
      </c>
      <c r="E252" s="13" t="s">
        <v>1669</v>
      </c>
      <c r="F252" s="13" t="s">
        <v>729</v>
      </c>
      <c r="G252" s="13" t="s">
        <v>629</v>
      </c>
      <c r="H252" s="13" t="s">
        <v>630</v>
      </c>
      <c r="I252" s="13">
        <v>3</v>
      </c>
      <c r="J252" s="13"/>
      <c r="K252" s="11" t="str">
        <f>IF(J252="","Assessment Pending",MAX(0,I252-J252))</f>
        <v>Assessment Pending</v>
      </c>
      <c r="L252" s="13"/>
      <c r="M252" s="13" t="s">
        <v>958</v>
      </c>
      <c r="N252" s="13" t="s">
        <v>2176</v>
      </c>
      <c r="O252" s="13"/>
    </row>
    <row r="253" spans="1:15" ht="45" customHeight="1">
      <c r="A253" s="14" t="s">
        <v>2405</v>
      </c>
      <c r="B253" s="14" t="s">
        <v>318</v>
      </c>
      <c r="C253" s="14" t="s">
        <v>1667</v>
      </c>
      <c r="D253" s="14" t="s">
        <v>492</v>
      </c>
      <c r="E253" s="14" t="s">
        <v>1669</v>
      </c>
      <c r="F253" s="14" t="s">
        <v>730</v>
      </c>
      <c r="G253" s="14" t="s">
        <v>731</v>
      </c>
      <c r="H253" s="14" t="s">
        <v>630</v>
      </c>
      <c r="I253" s="14">
        <v>3</v>
      </c>
      <c r="J253" s="14"/>
      <c r="K253" s="12" t="str">
        <f>IF(J253="","Assessment Pending",MAX(0,I253-J253))</f>
        <v>Assessment Pending</v>
      </c>
      <c r="L253" s="14"/>
      <c r="M253" s="14" t="s">
        <v>962</v>
      </c>
      <c r="N253" s="14" t="s">
        <v>2176</v>
      </c>
      <c r="O253" s="14"/>
    </row>
    <row r="254" spans="1:15" ht="45" customHeight="1">
      <c r="A254" s="13" t="s">
        <v>2406</v>
      </c>
      <c r="B254" s="13" t="s">
        <v>318</v>
      </c>
      <c r="C254" s="13" t="s">
        <v>1673</v>
      </c>
      <c r="D254" s="13" t="s">
        <v>492</v>
      </c>
      <c r="E254" s="13" t="s">
        <v>1669</v>
      </c>
      <c r="F254" s="13" t="s">
        <v>678</v>
      </c>
      <c r="G254" s="13" t="s">
        <v>564</v>
      </c>
      <c r="H254" s="13" t="s">
        <v>565</v>
      </c>
      <c r="I254" s="13">
        <v>3</v>
      </c>
      <c r="J254" s="13">
        <v>3</v>
      </c>
      <c r="K254" s="11">
        <f>IF(J254="","Assessment Pending",MAX(0,I254-J254))</f>
        <v>0</v>
      </c>
      <c r="L254" s="13" t="s">
        <v>2151</v>
      </c>
      <c r="M254" s="13" t="s">
        <v>948</v>
      </c>
      <c r="N254" s="13" t="s">
        <v>2152</v>
      </c>
      <c r="O254" s="13" t="s">
        <v>2155</v>
      </c>
    </row>
    <row r="255" spans="1:15" ht="45" customHeight="1">
      <c r="A255" s="14" t="s">
        <v>2407</v>
      </c>
      <c r="B255" s="14" t="s">
        <v>318</v>
      </c>
      <c r="C255" s="14" t="s">
        <v>1673</v>
      </c>
      <c r="D255" s="14" t="s">
        <v>492</v>
      </c>
      <c r="E255" s="14" t="s">
        <v>1669</v>
      </c>
      <c r="F255" s="14" t="s">
        <v>683</v>
      </c>
      <c r="G255" s="14" t="s">
        <v>684</v>
      </c>
      <c r="H255" s="14" t="s">
        <v>565</v>
      </c>
      <c r="I255" s="14">
        <v>3</v>
      </c>
      <c r="J255" s="14">
        <v>3</v>
      </c>
      <c r="K255" s="12">
        <f>IF(J255="","Assessment Pending",MAX(0,I255-J255))</f>
        <v>0</v>
      </c>
      <c r="L255" s="14" t="s">
        <v>2151</v>
      </c>
      <c r="M255" s="14" t="s">
        <v>956</v>
      </c>
      <c r="N255" s="14" t="s">
        <v>2152</v>
      </c>
      <c r="O255" s="14"/>
    </row>
    <row r="256" spans="1:15" ht="45" customHeight="1">
      <c r="A256" s="13" t="s">
        <v>2408</v>
      </c>
      <c r="B256" s="13" t="s">
        <v>318</v>
      </c>
      <c r="C256" s="13" t="s">
        <v>1673</v>
      </c>
      <c r="D256" s="13" t="s">
        <v>492</v>
      </c>
      <c r="E256" s="13" t="s">
        <v>1669</v>
      </c>
      <c r="F256" s="13" t="s">
        <v>690</v>
      </c>
      <c r="G256" s="13" t="s">
        <v>691</v>
      </c>
      <c r="H256" s="13" t="s">
        <v>565</v>
      </c>
      <c r="I256" s="13">
        <v>3</v>
      </c>
      <c r="J256" s="13">
        <v>3</v>
      </c>
      <c r="K256" s="11">
        <f>IF(J256="","Assessment Pending",MAX(0,I256-J256))</f>
        <v>0</v>
      </c>
      <c r="L256" s="13" t="s">
        <v>2151</v>
      </c>
      <c r="M256" s="13" t="s">
        <v>951</v>
      </c>
      <c r="N256" s="13" t="s">
        <v>2152</v>
      </c>
      <c r="O256" s="13"/>
    </row>
    <row r="257" spans="1:15" ht="45" customHeight="1">
      <c r="A257" s="14" t="s">
        <v>2409</v>
      </c>
      <c r="B257" s="14" t="s">
        <v>318</v>
      </c>
      <c r="C257" s="14" t="s">
        <v>1673</v>
      </c>
      <c r="D257" s="14" t="s">
        <v>492</v>
      </c>
      <c r="E257" s="14" t="s">
        <v>1669</v>
      </c>
      <c r="F257" s="14" t="s">
        <v>697</v>
      </c>
      <c r="G257" s="14" t="s">
        <v>698</v>
      </c>
      <c r="H257" s="14" t="s">
        <v>565</v>
      </c>
      <c r="I257" s="14">
        <v>3</v>
      </c>
      <c r="J257" s="14">
        <v>3</v>
      </c>
      <c r="K257" s="12">
        <f>IF(J257="","Assessment Pending",MAX(0,I257-J257))</f>
        <v>0</v>
      </c>
      <c r="L257" s="14" t="s">
        <v>2151</v>
      </c>
      <c r="M257" s="14" t="s">
        <v>944</v>
      </c>
      <c r="N257" s="14" t="s">
        <v>2152</v>
      </c>
      <c r="O257" s="14"/>
    </row>
    <row r="258" spans="1:15" ht="45" customHeight="1">
      <c r="A258" s="13" t="s">
        <v>2410</v>
      </c>
      <c r="B258" s="13" t="s">
        <v>318</v>
      </c>
      <c r="C258" s="13" t="s">
        <v>1673</v>
      </c>
      <c r="D258" s="13" t="s">
        <v>492</v>
      </c>
      <c r="E258" s="13" t="s">
        <v>1669</v>
      </c>
      <c r="F258" s="13" t="s">
        <v>704</v>
      </c>
      <c r="G258" s="13" t="s">
        <v>705</v>
      </c>
      <c r="H258" s="13" t="s">
        <v>565</v>
      </c>
      <c r="I258" s="13">
        <v>3</v>
      </c>
      <c r="J258" s="13">
        <v>3</v>
      </c>
      <c r="K258" s="11">
        <f>IF(J258="","Assessment Pending",MAX(0,I258-J258))</f>
        <v>0</v>
      </c>
      <c r="L258" s="13" t="s">
        <v>2151</v>
      </c>
      <c r="M258" s="13" t="s">
        <v>960</v>
      </c>
      <c r="N258" s="13" t="s">
        <v>2152</v>
      </c>
      <c r="O258" s="13"/>
    </row>
    <row r="259" spans="1:15" ht="45" customHeight="1">
      <c r="A259" s="14" t="s">
        <v>2411</v>
      </c>
      <c r="B259" s="14" t="s">
        <v>318</v>
      </c>
      <c r="C259" s="14" t="s">
        <v>1673</v>
      </c>
      <c r="D259" s="14" t="s">
        <v>492</v>
      </c>
      <c r="E259" s="14" t="s">
        <v>1669</v>
      </c>
      <c r="F259" s="14" t="s">
        <v>711</v>
      </c>
      <c r="G259" s="14" t="s">
        <v>712</v>
      </c>
      <c r="H259" s="14" t="s">
        <v>565</v>
      </c>
      <c r="I259" s="14">
        <v>3</v>
      </c>
      <c r="J259" s="14">
        <v>3</v>
      </c>
      <c r="K259" s="12">
        <f>IF(J259="","Assessment Pending",MAX(0,I259-J259))</f>
        <v>0</v>
      </c>
      <c r="L259" s="14" t="s">
        <v>2151</v>
      </c>
      <c r="M259" s="14" t="s">
        <v>934</v>
      </c>
      <c r="N259" s="14" t="s">
        <v>2152</v>
      </c>
      <c r="O259" s="14"/>
    </row>
    <row r="260" spans="1:15" ht="45" customHeight="1">
      <c r="A260" s="13" t="s">
        <v>2412</v>
      </c>
      <c r="B260" s="13" t="s">
        <v>318</v>
      </c>
      <c r="C260" s="13" t="s">
        <v>1673</v>
      </c>
      <c r="D260" s="13" t="s">
        <v>492</v>
      </c>
      <c r="E260" s="13" t="s">
        <v>1669</v>
      </c>
      <c r="F260" s="13" t="s">
        <v>718</v>
      </c>
      <c r="G260" s="13" t="s">
        <v>719</v>
      </c>
      <c r="H260" s="13" t="s">
        <v>565</v>
      </c>
      <c r="I260" s="13">
        <v>3</v>
      </c>
      <c r="J260" s="13">
        <v>3</v>
      </c>
      <c r="K260" s="11">
        <f>IF(J260="","Assessment Pending",MAX(0,I260-J260))</f>
        <v>0</v>
      </c>
      <c r="L260" s="13" t="s">
        <v>2151</v>
      </c>
      <c r="M260" s="13" t="s">
        <v>937</v>
      </c>
      <c r="N260" s="13" t="s">
        <v>2152</v>
      </c>
      <c r="O260" s="13"/>
    </row>
    <row r="261" spans="1:15" ht="45" customHeight="1">
      <c r="A261" s="14" t="s">
        <v>2413</v>
      </c>
      <c r="B261" s="14" t="s">
        <v>318</v>
      </c>
      <c r="C261" s="14" t="s">
        <v>1673</v>
      </c>
      <c r="D261" s="14" t="s">
        <v>492</v>
      </c>
      <c r="E261" s="14" t="s">
        <v>1669</v>
      </c>
      <c r="F261" s="14" t="s">
        <v>725</v>
      </c>
      <c r="G261" s="14" t="s">
        <v>726</v>
      </c>
      <c r="H261" s="14" t="s">
        <v>565</v>
      </c>
      <c r="I261" s="14">
        <v>3</v>
      </c>
      <c r="J261" s="14">
        <v>3</v>
      </c>
      <c r="K261" s="12">
        <f>IF(J261="","Assessment Pending",MAX(0,I261-J261))</f>
        <v>0</v>
      </c>
      <c r="L261" s="14" t="s">
        <v>2151</v>
      </c>
      <c r="M261" s="14" t="s">
        <v>942</v>
      </c>
      <c r="N261" s="14" t="s">
        <v>2152</v>
      </c>
      <c r="O261" s="14"/>
    </row>
    <row r="262" spans="1:15" ht="45" customHeight="1">
      <c r="A262" s="13" t="s">
        <v>2414</v>
      </c>
      <c r="B262" s="13" t="s">
        <v>318</v>
      </c>
      <c r="C262" s="13" t="s">
        <v>1673</v>
      </c>
      <c r="D262" s="13" t="s">
        <v>492</v>
      </c>
      <c r="E262" s="13" t="s">
        <v>1669</v>
      </c>
      <c r="F262" s="13" t="s">
        <v>729</v>
      </c>
      <c r="G262" s="13" t="s">
        <v>629</v>
      </c>
      <c r="H262" s="13" t="s">
        <v>630</v>
      </c>
      <c r="I262" s="13">
        <v>3</v>
      </c>
      <c r="J262" s="13">
        <v>3</v>
      </c>
      <c r="K262" s="11">
        <f>IF(J262="","Assessment Pending",MAX(0,I262-J262))</f>
        <v>0</v>
      </c>
      <c r="L262" s="13" t="s">
        <v>2151</v>
      </c>
      <c r="M262" s="13" t="s">
        <v>958</v>
      </c>
      <c r="N262" s="13" t="s">
        <v>2152</v>
      </c>
      <c r="O262" s="13"/>
    </row>
    <row r="263" spans="1:15" ht="45" customHeight="1">
      <c r="A263" s="14" t="s">
        <v>2415</v>
      </c>
      <c r="B263" s="14" t="s">
        <v>318</v>
      </c>
      <c r="C263" s="14" t="s">
        <v>1673</v>
      </c>
      <c r="D263" s="14" t="s">
        <v>492</v>
      </c>
      <c r="E263" s="14" t="s">
        <v>1669</v>
      </c>
      <c r="F263" s="14" t="s">
        <v>730</v>
      </c>
      <c r="G263" s="14" t="s">
        <v>731</v>
      </c>
      <c r="H263" s="14" t="s">
        <v>630</v>
      </c>
      <c r="I263" s="14">
        <v>3</v>
      </c>
      <c r="J263" s="14">
        <v>3</v>
      </c>
      <c r="K263" s="12">
        <f>IF(J263="","Assessment Pending",MAX(0,I263-J263))</f>
        <v>0</v>
      </c>
      <c r="L263" s="14" t="s">
        <v>2151</v>
      </c>
      <c r="M263" s="14" t="s">
        <v>962</v>
      </c>
      <c r="N263" s="14" t="s">
        <v>2152</v>
      </c>
      <c r="O263" s="14"/>
    </row>
    <row r="264" spans="1:15" ht="45" customHeight="1">
      <c r="A264" s="13" t="s">
        <v>2416</v>
      </c>
      <c r="B264" s="13" t="s">
        <v>318</v>
      </c>
      <c r="C264" s="13" t="s">
        <v>1675</v>
      </c>
      <c r="D264" s="13" t="s">
        <v>492</v>
      </c>
      <c r="E264" s="13" t="s">
        <v>1669</v>
      </c>
      <c r="F264" s="13" t="s">
        <v>678</v>
      </c>
      <c r="G264" s="13" t="s">
        <v>564</v>
      </c>
      <c r="H264" s="13" t="s">
        <v>565</v>
      </c>
      <c r="I264" s="13">
        <v>3</v>
      </c>
      <c r="J264" s="13">
        <v>2</v>
      </c>
      <c r="K264" s="11">
        <f>IF(J264="","Assessment Pending",MAX(0,I264-J264))</f>
        <v>1</v>
      </c>
      <c r="L264" s="13" t="s">
        <v>2157</v>
      </c>
      <c r="M264" s="13" t="s">
        <v>948</v>
      </c>
      <c r="N264" s="13" t="s">
        <v>2154</v>
      </c>
      <c r="O264" s="13" t="s">
        <v>2155</v>
      </c>
    </row>
    <row r="265" spans="1:15" ht="45" customHeight="1">
      <c r="A265" s="14" t="s">
        <v>2417</v>
      </c>
      <c r="B265" s="14" t="s">
        <v>318</v>
      </c>
      <c r="C265" s="14" t="s">
        <v>1675</v>
      </c>
      <c r="D265" s="14" t="s">
        <v>492</v>
      </c>
      <c r="E265" s="14" t="s">
        <v>1669</v>
      </c>
      <c r="F265" s="14" t="s">
        <v>683</v>
      </c>
      <c r="G265" s="14" t="s">
        <v>684</v>
      </c>
      <c r="H265" s="14" t="s">
        <v>565</v>
      </c>
      <c r="I265" s="14">
        <v>3</v>
      </c>
      <c r="J265" s="14">
        <v>2</v>
      </c>
      <c r="K265" s="12">
        <f>IF(J265="","Assessment Pending",MAX(0,I265-J265))</f>
        <v>1</v>
      </c>
      <c r="L265" s="14" t="s">
        <v>2157</v>
      </c>
      <c r="M265" s="14" t="s">
        <v>956</v>
      </c>
      <c r="N265" s="14" t="s">
        <v>2154</v>
      </c>
      <c r="O265" s="14"/>
    </row>
    <row r="266" spans="1:15" ht="45" customHeight="1">
      <c r="A266" s="13" t="s">
        <v>2418</v>
      </c>
      <c r="B266" s="13" t="s">
        <v>318</v>
      </c>
      <c r="C266" s="13" t="s">
        <v>1675</v>
      </c>
      <c r="D266" s="13" t="s">
        <v>492</v>
      </c>
      <c r="E266" s="13" t="s">
        <v>1669</v>
      </c>
      <c r="F266" s="13" t="s">
        <v>690</v>
      </c>
      <c r="G266" s="13" t="s">
        <v>691</v>
      </c>
      <c r="H266" s="13" t="s">
        <v>565</v>
      </c>
      <c r="I266" s="13">
        <v>3</v>
      </c>
      <c r="J266" s="13">
        <v>2</v>
      </c>
      <c r="K266" s="11">
        <f>IF(J266="","Assessment Pending",MAX(0,I266-J266))</f>
        <v>1</v>
      </c>
      <c r="L266" s="13" t="s">
        <v>2157</v>
      </c>
      <c r="M266" s="13" t="s">
        <v>951</v>
      </c>
      <c r="N266" s="13" t="s">
        <v>2154</v>
      </c>
      <c r="O266" s="13"/>
    </row>
    <row r="267" spans="1:15" ht="45" customHeight="1">
      <c r="A267" s="14" t="s">
        <v>2419</v>
      </c>
      <c r="B267" s="14" t="s">
        <v>318</v>
      </c>
      <c r="C267" s="14" t="s">
        <v>1675</v>
      </c>
      <c r="D267" s="14" t="s">
        <v>492</v>
      </c>
      <c r="E267" s="14" t="s">
        <v>1669</v>
      </c>
      <c r="F267" s="14" t="s">
        <v>697</v>
      </c>
      <c r="G267" s="14" t="s">
        <v>698</v>
      </c>
      <c r="H267" s="14" t="s">
        <v>565</v>
      </c>
      <c r="I267" s="14">
        <v>3</v>
      </c>
      <c r="J267" s="14">
        <v>2</v>
      </c>
      <c r="K267" s="12">
        <f>IF(J267="","Assessment Pending",MAX(0,I267-J267))</f>
        <v>1</v>
      </c>
      <c r="L267" s="14" t="s">
        <v>2157</v>
      </c>
      <c r="M267" s="14" t="s">
        <v>944</v>
      </c>
      <c r="N267" s="14" t="s">
        <v>2154</v>
      </c>
      <c r="O267" s="14"/>
    </row>
    <row r="268" spans="1:15" ht="45" customHeight="1">
      <c r="A268" s="13" t="s">
        <v>2420</v>
      </c>
      <c r="B268" s="13" t="s">
        <v>318</v>
      </c>
      <c r="C268" s="13" t="s">
        <v>1675</v>
      </c>
      <c r="D268" s="13" t="s">
        <v>492</v>
      </c>
      <c r="E268" s="13" t="s">
        <v>1669</v>
      </c>
      <c r="F268" s="13" t="s">
        <v>704</v>
      </c>
      <c r="G268" s="13" t="s">
        <v>705</v>
      </c>
      <c r="H268" s="13" t="s">
        <v>565</v>
      </c>
      <c r="I268" s="13">
        <v>3</v>
      </c>
      <c r="J268" s="13">
        <v>2</v>
      </c>
      <c r="K268" s="11">
        <f>IF(J268="","Assessment Pending",MAX(0,I268-J268))</f>
        <v>1</v>
      </c>
      <c r="L268" s="13" t="s">
        <v>2157</v>
      </c>
      <c r="M268" s="13" t="s">
        <v>960</v>
      </c>
      <c r="N268" s="13" t="s">
        <v>2154</v>
      </c>
      <c r="O268" s="13"/>
    </row>
    <row r="269" spans="1:15" ht="45" customHeight="1">
      <c r="A269" s="14" t="s">
        <v>2421</v>
      </c>
      <c r="B269" s="14" t="s">
        <v>318</v>
      </c>
      <c r="C269" s="14" t="s">
        <v>1675</v>
      </c>
      <c r="D269" s="14" t="s">
        <v>492</v>
      </c>
      <c r="E269" s="14" t="s">
        <v>1669</v>
      </c>
      <c r="F269" s="14" t="s">
        <v>711</v>
      </c>
      <c r="G269" s="14" t="s">
        <v>712</v>
      </c>
      <c r="H269" s="14" t="s">
        <v>565</v>
      </c>
      <c r="I269" s="14">
        <v>3</v>
      </c>
      <c r="J269" s="14">
        <v>2</v>
      </c>
      <c r="K269" s="12">
        <f>IF(J269="","Assessment Pending",MAX(0,I269-J269))</f>
        <v>1</v>
      </c>
      <c r="L269" s="14" t="s">
        <v>2157</v>
      </c>
      <c r="M269" s="14" t="s">
        <v>934</v>
      </c>
      <c r="N269" s="14" t="s">
        <v>2154</v>
      </c>
      <c r="O269" s="14"/>
    </row>
    <row r="270" spans="1:15" ht="45" customHeight="1">
      <c r="A270" s="13" t="s">
        <v>2422</v>
      </c>
      <c r="B270" s="13" t="s">
        <v>318</v>
      </c>
      <c r="C270" s="13" t="s">
        <v>1675</v>
      </c>
      <c r="D270" s="13" t="s">
        <v>492</v>
      </c>
      <c r="E270" s="13" t="s">
        <v>1669</v>
      </c>
      <c r="F270" s="13" t="s">
        <v>718</v>
      </c>
      <c r="G270" s="13" t="s">
        <v>719</v>
      </c>
      <c r="H270" s="13" t="s">
        <v>565</v>
      </c>
      <c r="I270" s="13">
        <v>3</v>
      </c>
      <c r="J270" s="13">
        <v>2</v>
      </c>
      <c r="K270" s="11">
        <f>IF(J270="","Assessment Pending",MAX(0,I270-J270))</f>
        <v>1</v>
      </c>
      <c r="L270" s="13" t="s">
        <v>2157</v>
      </c>
      <c r="M270" s="13" t="s">
        <v>937</v>
      </c>
      <c r="N270" s="13" t="s">
        <v>2154</v>
      </c>
      <c r="O270" s="13"/>
    </row>
    <row r="271" spans="1:15" ht="45" customHeight="1">
      <c r="A271" s="14" t="s">
        <v>2423</v>
      </c>
      <c r="B271" s="14" t="s">
        <v>318</v>
      </c>
      <c r="C271" s="14" t="s">
        <v>1675</v>
      </c>
      <c r="D271" s="14" t="s">
        <v>492</v>
      </c>
      <c r="E271" s="14" t="s">
        <v>1669</v>
      </c>
      <c r="F271" s="14" t="s">
        <v>725</v>
      </c>
      <c r="G271" s="14" t="s">
        <v>726</v>
      </c>
      <c r="H271" s="14" t="s">
        <v>565</v>
      </c>
      <c r="I271" s="14">
        <v>3</v>
      </c>
      <c r="J271" s="14">
        <v>3</v>
      </c>
      <c r="K271" s="12">
        <f>IF(J271="","Assessment Pending",MAX(0,I271-J271))</f>
        <v>0</v>
      </c>
      <c r="L271" s="14" t="s">
        <v>2151</v>
      </c>
      <c r="M271" s="14" t="s">
        <v>942</v>
      </c>
      <c r="N271" s="14" t="s">
        <v>2152</v>
      </c>
      <c r="O271" s="14"/>
    </row>
    <row r="272" spans="1:15" ht="45" customHeight="1">
      <c r="A272" s="13" t="s">
        <v>2424</v>
      </c>
      <c r="B272" s="13" t="s">
        <v>318</v>
      </c>
      <c r="C272" s="13" t="s">
        <v>1675</v>
      </c>
      <c r="D272" s="13" t="s">
        <v>492</v>
      </c>
      <c r="E272" s="13" t="s">
        <v>1669</v>
      </c>
      <c r="F272" s="13" t="s">
        <v>729</v>
      </c>
      <c r="G272" s="13" t="s">
        <v>629</v>
      </c>
      <c r="H272" s="13" t="s">
        <v>630</v>
      </c>
      <c r="I272" s="13">
        <v>3</v>
      </c>
      <c r="J272" s="13">
        <v>3</v>
      </c>
      <c r="K272" s="11">
        <f>IF(J272="","Assessment Pending",MAX(0,I272-J272))</f>
        <v>0</v>
      </c>
      <c r="L272" s="13" t="s">
        <v>2151</v>
      </c>
      <c r="M272" s="13" t="s">
        <v>958</v>
      </c>
      <c r="N272" s="13" t="s">
        <v>2152</v>
      </c>
      <c r="O272" s="13"/>
    </row>
    <row r="273" spans="1:15" ht="45" customHeight="1">
      <c r="A273" s="14" t="s">
        <v>2425</v>
      </c>
      <c r="B273" s="14" t="s">
        <v>318</v>
      </c>
      <c r="C273" s="14" t="s">
        <v>1675</v>
      </c>
      <c r="D273" s="14" t="s">
        <v>492</v>
      </c>
      <c r="E273" s="14" t="s">
        <v>1669</v>
      </c>
      <c r="F273" s="14" t="s">
        <v>730</v>
      </c>
      <c r="G273" s="14" t="s">
        <v>731</v>
      </c>
      <c r="H273" s="14" t="s">
        <v>630</v>
      </c>
      <c r="I273" s="14">
        <v>3</v>
      </c>
      <c r="J273" s="14">
        <v>2</v>
      </c>
      <c r="K273" s="12">
        <f>IF(J273="","Assessment Pending",MAX(0,I273-J273))</f>
        <v>1</v>
      </c>
      <c r="L273" s="14" t="s">
        <v>2157</v>
      </c>
      <c r="M273" s="14" t="s">
        <v>962</v>
      </c>
      <c r="N273" s="14" t="s">
        <v>2154</v>
      </c>
      <c r="O273" s="14"/>
    </row>
    <row r="274" spans="1:15" ht="45" customHeight="1">
      <c r="A274" s="13" t="s">
        <v>2426</v>
      </c>
      <c r="B274" s="13" t="s">
        <v>318</v>
      </c>
      <c r="C274" s="13" t="s">
        <v>1677</v>
      </c>
      <c r="D274" s="13" t="s">
        <v>492</v>
      </c>
      <c r="E274" s="13" t="s">
        <v>1669</v>
      </c>
      <c r="F274" s="13" t="s">
        <v>678</v>
      </c>
      <c r="G274" s="13" t="s">
        <v>564</v>
      </c>
      <c r="H274" s="13" t="s">
        <v>565</v>
      </c>
      <c r="I274" s="13">
        <v>3</v>
      </c>
      <c r="J274" s="13"/>
      <c r="K274" s="11" t="str">
        <f>IF(J274="","Assessment Pending",MAX(0,I274-J274))</f>
        <v>Assessment Pending</v>
      </c>
      <c r="L274" s="13"/>
      <c r="M274" s="13" t="s">
        <v>948</v>
      </c>
      <c r="N274" s="13" t="s">
        <v>2176</v>
      </c>
      <c r="O274" s="13" t="s">
        <v>2155</v>
      </c>
    </row>
    <row r="275" spans="1:15" ht="45" customHeight="1">
      <c r="A275" s="14" t="s">
        <v>2427</v>
      </c>
      <c r="B275" s="14" t="s">
        <v>318</v>
      </c>
      <c r="C275" s="14" t="s">
        <v>1677</v>
      </c>
      <c r="D275" s="14" t="s">
        <v>492</v>
      </c>
      <c r="E275" s="14" t="s">
        <v>1669</v>
      </c>
      <c r="F275" s="14" t="s">
        <v>683</v>
      </c>
      <c r="G275" s="14" t="s">
        <v>684</v>
      </c>
      <c r="H275" s="14" t="s">
        <v>565</v>
      </c>
      <c r="I275" s="14">
        <v>3</v>
      </c>
      <c r="J275" s="14"/>
      <c r="K275" s="12" t="str">
        <f>IF(J275="","Assessment Pending",MAX(0,I275-J275))</f>
        <v>Assessment Pending</v>
      </c>
      <c r="L275" s="14"/>
      <c r="M275" s="14" t="s">
        <v>956</v>
      </c>
      <c r="N275" s="14" t="s">
        <v>2176</v>
      </c>
      <c r="O275" s="14"/>
    </row>
    <row r="276" spans="1:15" ht="45" customHeight="1">
      <c r="A276" s="13" t="s">
        <v>2428</v>
      </c>
      <c r="B276" s="13" t="s">
        <v>318</v>
      </c>
      <c r="C276" s="13" t="s">
        <v>1677</v>
      </c>
      <c r="D276" s="13" t="s">
        <v>492</v>
      </c>
      <c r="E276" s="13" t="s">
        <v>1669</v>
      </c>
      <c r="F276" s="13" t="s">
        <v>690</v>
      </c>
      <c r="G276" s="13" t="s">
        <v>691</v>
      </c>
      <c r="H276" s="13" t="s">
        <v>565</v>
      </c>
      <c r="I276" s="13">
        <v>3</v>
      </c>
      <c r="J276" s="13"/>
      <c r="K276" s="11" t="str">
        <f>IF(J276="","Assessment Pending",MAX(0,I276-J276))</f>
        <v>Assessment Pending</v>
      </c>
      <c r="L276" s="13"/>
      <c r="M276" s="13" t="s">
        <v>951</v>
      </c>
      <c r="N276" s="13" t="s">
        <v>2176</v>
      </c>
      <c r="O276" s="13"/>
    </row>
    <row r="277" spans="1:15" ht="45" customHeight="1">
      <c r="A277" s="14" t="s">
        <v>2429</v>
      </c>
      <c r="B277" s="14" t="s">
        <v>318</v>
      </c>
      <c r="C277" s="14" t="s">
        <v>1677</v>
      </c>
      <c r="D277" s="14" t="s">
        <v>492</v>
      </c>
      <c r="E277" s="14" t="s">
        <v>1669</v>
      </c>
      <c r="F277" s="14" t="s">
        <v>697</v>
      </c>
      <c r="G277" s="14" t="s">
        <v>698</v>
      </c>
      <c r="H277" s="14" t="s">
        <v>565</v>
      </c>
      <c r="I277" s="14">
        <v>3</v>
      </c>
      <c r="J277" s="14"/>
      <c r="K277" s="12" t="str">
        <f>IF(J277="","Assessment Pending",MAX(0,I277-J277))</f>
        <v>Assessment Pending</v>
      </c>
      <c r="L277" s="14"/>
      <c r="M277" s="14" t="s">
        <v>944</v>
      </c>
      <c r="N277" s="14" t="s">
        <v>2176</v>
      </c>
      <c r="O277" s="14"/>
    </row>
    <row r="278" spans="1:15" ht="45" customHeight="1">
      <c r="A278" s="13" t="s">
        <v>2430</v>
      </c>
      <c r="B278" s="13" t="s">
        <v>318</v>
      </c>
      <c r="C278" s="13" t="s">
        <v>1677</v>
      </c>
      <c r="D278" s="13" t="s">
        <v>492</v>
      </c>
      <c r="E278" s="13" t="s">
        <v>1669</v>
      </c>
      <c r="F278" s="13" t="s">
        <v>704</v>
      </c>
      <c r="G278" s="13" t="s">
        <v>705</v>
      </c>
      <c r="H278" s="13" t="s">
        <v>565</v>
      </c>
      <c r="I278" s="13">
        <v>3</v>
      </c>
      <c r="J278" s="13"/>
      <c r="K278" s="11" t="str">
        <f>IF(J278="","Assessment Pending",MAX(0,I278-J278))</f>
        <v>Assessment Pending</v>
      </c>
      <c r="L278" s="13"/>
      <c r="M278" s="13" t="s">
        <v>960</v>
      </c>
      <c r="N278" s="13" t="s">
        <v>2176</v>
      </c>
      <c r="O278" s="13"/>
    </row>
    <row r="279" spans="1:15" ht="45" customHeight="1">
      <c r="A279" s="14" t="s">
        <v>2431</v>
      </c>
      <c r="B279" s="14" t="s">
        <v>318</v>
      </c>
      <c r="C279" s="14" t="s">
        <v>1677</v>
      </c>
      <c r="D279" s="14" t="s">
        <v>492</v>
      </c>
      <c r="E279" s="14" t="s">
        <v>1669</v>
      </c>
      <c r="F279" s="14" t="s">
        <v>711</v>
      </c>
      <c r="G279" s="14" t="s">
        <v>712</v>
      </c>
      <c r="H279" s="14" t="s">
        <v>565</v>
      </c>
      <c r="I279" s="14">
        <v>3</v>
      </c>
      <c r="J279" s="14"/>
      <c r="K279" s="12" t="str">
        <f>IF(J279="","Assessment Pending",MAX(0,I279-J279))</f>
        <v>Assessment Pending</v>
      </c>
      <c r="L279" s="14"/>
      <c r="M279" s="14" t="s">
        <v>934</v>
      </c>
      <c r="N279" s="14" t="s">
        <v>2176</v>
      </c>
      <c r="O279" s="14"/>
    </row>
    <row r="280" spans="1:15" ht="45" customHeight="1">
      <c r="A280" s="13" t="s">
        <v>2432</v>
      </c>
      <c r="B280" s="13" t="s">
        <v>318</v>
      </c>
      <c r="C280" s="13" t="s">
        <v>1677</v>
      </c>
      <c r="D280" s="13" t="s">
        <v>492</v>
      </c>
      <c r="E280" s="13" t="s">
        <v>1669</v>
      </c>
      <c r="F280" s="13" t="s">
        <v>718</v>
      </c>
      <c r="G280" s="13" t="s">
        <v>719</v>
      </c>
      <c r="H280" s="13" t="s">
        <v>565</v>
      </c>
      <c r="I280" s="13">
        <v>3</v>
      </c>
      <c r="J280" s="13"/>
      <c r="K280" s="11" t="str">
        <f>IF(J280="","Assessment Pending",MAX(0,I280-J280))</f>
        <v>Assessment Pending</v>
      </c>
      <c r="L280" s="13"/>
      <c r="M280" s="13" t="s">
        <v>937</v>
      </c>
      <c r="N280" s="13" t="s">
        <v>2176</v>
      </c>
      <c r="O280" s="13"/>
    </row>
    <row r="281" spans="1:15" ht="45" customHeight="1">
      <c r="A281" s="14" t="s">
        <v>2433</v>
      </c>
      <c r="B281" s="14" t="s">
        <v>318</v>
      </c>
      <c r="C281" s="14" t="s">
        <v>1677</v>
      </c>
      <c r="D281" s="14" t="s">
        <v>492</v>
      </c>
      <c r="E281" s="14" t="s">
        <v>1669</v>
      </c>
      <c r="F281" s="14" t="s">
        <v>725</v>
      </c>
      <c r="G281" s="14" t="s">
        <v>726</v>
      </c>
      <c r="H281" s="14" t="s">
        <v>565</v>
      </c>
      <c r="I281" s="14">
        <v>3</v>
      </c>
      <c r="J281" s="14"/>
      <c r="K281" s="12" t="str">
        <f>IF(J281="","Assessment Pending",MAX(0,I281-J281))</f>
        <v>Assessment Pending</v>
      </c>
      <c r="L281" s="14"/>
      <c r="M281" s="14" t="s">
        <v>942</v>
      </c>
      <c r="N281" s="14" t="s">
        <v>2176</v>
      </c>
      <c r="O281" s="14"/>
    </row>
    <row r="282" spans="1:15" ht="45" customHeight="1">
      <c r="A282" s="13" t="s">
        <v>2434</v>
      </c>
      <c r="B282" s="13" t="s">
        <v>318</v>
      </c>
      <c r="C282" s="13" t="s">
        <v>1677</v>
      </c>
      <c r="D282" s="13" t="s">
        <v>492</v>
      </c>
      <c r="E282" s="13" t="s">
        <v>1669</v>
      </c>
      <c r="F282" s="13" t="s">
        <v>729</v>
      </c>
      <c r="G282" s="13" t="s">
        <v>629</v>
      </c>
      <c r="H282" s="13" t="s">
        <v>630</v>
      </c>
      <c r="I282" s="13">
        <v>3</v>
      </c>
      <c r="J282" s="13"/>
      <c r="K282" s="11" t="str">
        <f>IF(J282="","Assessment Pending",MAX(0,I282-J282))</f>
        <v>Assessment Pending</v>
      </c>
      <c r="L282" s="13"/>
      <c r="M282" s="13" t="s">
        <v>958</v>
      </c>
      <c r="N282" s="13" t="s">
        <v>2176</v>
      </c>
      <c r="O282" s="13"/>
    </row>
    <row r="283" spans="1:15" ht="45" customHeight="1">
      <c r="A283" s="14" t="s">
        <v>2435</v>
      </c>
      <c r="B283" s="14" t="s">
        <v>318</v>
      </c>
      <c r="C283" s="14" t="s">
        <v>1677</v>
      </c>
      <c r="D283" s="14" t="s">
        <v>492</v>
      </c>
      <c r="E283" s="14" t="s">
        <v>1669</v>
      </c>
      <c r="F283" s="14" t="s">
        <v>730</v>
      </c>
      <c r="G283" s="14" t="s">
        <v>731</v>
      </c>
      <c r="H283" s="14" t="s">
        <v>630</v>
      </c>
      <c r="I283" s="14">
        <v>3</v>
      </c>
      <c r="J283" s="14"/>
      <c r="K283" s="12" t="str">
        <f>IF(J283="","Assessment Pending",MAX(0,I283-J283))</f>
        <v>Assessment Pending</v>
      </c>
      <c r="L283" s="14"/>
      <c r="M283" s="14" t="s">
        <v>962</v>
      </c>
      <c r="N283" s="14" t="s">
        <v>2176</v>
      </c>
      <c r="O283" s="14"/>
    </row>
    <row r="284" spans="1:15" ht="45" customHeight="1">
      <c r="A284" s="13" t="s">
        <v>2436</v>
      </c>
      <c r="B284" s="13" t="s">
        <v>318</v>
      </c>
      <c r="C284" s="13" t="s">
        <v>1679</v>
      </c>
      <c r="D284" s="13" t="s">
        <v>497</v>
      </c>
      <c r="E284" s="13" t="s">
        <v>1681</v>
      </c>
      <c r="F284" s="13" t="s">
        <v>678</v>
      </c>
      <c r="G284" s="13" t="s">
        <v>564</v>
      </c>
      <c r="H284" s="13" t="s">
        <v>565</v>
      </c>
      <c r="I284" s="13">
        <v>4</v>
      </c>
      <c r="J284" s="13">
        <v>1</v>
      </c>
      <c r="K284" s="11">
        <f>IF(J284="","Assessment Pending",MAX(0,I284-J284))</f>
        <v>3</v>
      </c>
      <c r="L284" s="13" t="s">
        <v>899</v>
      </c>
      <c r="M284" s="13" t="s">
        <v>948</v>
      </c>
      <c r="N284" s="13" t="s">
        <v>2154</v>
      </c>
      <c r="O284" s="13" t="s">
        <v>2155</v>
      </c>
    </row>
    <row r="285" spans="1:15" ht="45" customHeight="1">
      <c r="A285" s="14" t="s">
        <v>2437</v>
      </c>
      <c r="B285" s="14" t="s">
        <v>318</v>
      </c>
      <c r="C285" s="14" t="s">
        <v>1679</v>
      </c>
      <c r="D285" s="14" t="s">
        <v>497</v>
      </c>
      <c r="E285" s="14" t="s">
        <v>1681</v>
      </c>
      <c r="F285" s="14" t="s">
        <v>683</v>
      </c>
      <c r="G285" s="14" t="s">
        <v>684</v>
      </c>
      <c r="H285" s="14" t="s">
        <v>565</v>
      </c>
      <c r="I285" s="14">
        <v>4</v>
      </c>
      <c r="J285" s="14">
        <v>1</v>
      </c>
      <c r="K285" s="12">
        <f>IF(J285="","Assessment Pending",MAX(0,I285-J285))</f>
        <v>3</v>
      </c>
      <c r="L285" s="14" t="s">
        <v>899</v>
      </c>
      <c r="M285" s="14" t="s">
        <v>956</v>
      </c>
      <c r="N285" s="14" t="s">
        <v>2154</v>
      </c>
      <c r="O285" s="14"/>
    </row>
    <row r="286" spans="1:15" ht="45" customHeight="1">
      <c r="A286" s="13" t="s">
        <v>2438</v>
      </c>
      <c r="B286" s="13" t="s">
        <v>318</v>
      </c>
      <c r="C286" s="13" t="s">
        <v>1679</v>
      </c>
      <c r="D286" s="13" t="s">
        <v>497</v>
      </c>
      <c r="E286" s="13" t="s">
        <v>1681</v>
      </c>
      <c r="F286" s="13" t="s">
        <v>690</v>
      </c>
      <c r="G286" s="13" t="s">
        <v>691</v>
      </c>
      <c r="H286" s="13" t="s">
        <v>565</v>
      </c>
      <c r="I286" s="13">
        <v>4</v>
      </c>
      <c r="J286" s="13">
        <v>2</v>
      </c>
      <c r="K286" s="11">
        <f>IF(J286="","Assessment Pending",MAX(0,I286-J286))</f>
        <v>2</v>
      </c>
      <c r="L286" s="13" t="s">
        <v>899</v>
      </c>
      <c r="M286" s="13" t="s">
        <v>951</v>
      </c>
      <c r="N286" s="13" t="s">
        <v>2154</v>
      </c>
      <c r="O286" s="13"/>
    </row>
    <row r="287" spans="1:15" ht="45" customHeight="1">
      <c r="A287" s="14" t="s">
        <v>2439</v>
      </c>
      <c r="B287" s="14" t="s">
        <v>318</v>
      </c>
      <c r="C287" s="14" t="s">
        <v>1679</v>
      </c>
      <c r="D287" s="14" t="s">
        <v>497</v>
      </c>
      <c r="E287" s="14" t="s">
        <v>1681</v>
      </c>
      <c r="F287" s="14" t="s">
        <v>697</v>
      </c>
      <c r="G287" s="14" t="s">
        <v>698</v>
      </c>
      <c r="H287" s="14" t="s">
        <v>565</v>
      </c>
      <c r="I287" s="14">
        <v>4</v>
      </c>
      <c r="J287" s="14">
        <v>1</v>
      </c>
      <c r="K287" s="12">
        <f>IF(J287="","Assessment Pending",MAX(0,I287-J287))</f>
        <v>3</v>
      </c>
      <c r="L287" s="14" t="s">
        <v>899</v>
      </c>
      <c r="M287" s="14" t="s">
        <v>944</v>
      </c>
      <c r="N287" s="14" t="s">
        <v>2154</v>
      </c>
      <c r="O287" s="14"/>
    </row>
    <row r="288" spans="1:15" ht="45" customHeight="1">
      <c r="A288" s="13" t="s">
        <v>2440</v>
      </c>
      <c r="B288" s="13" t="s">
        <v>318</v>
      </c>
      <c r="C288" s="13" t="s">
        <v>1679</v>
      </c>
      <c r="D288" s="13" t="s">
        <v>497</v>
      </c>
      <c r="E288" s="13" t="s">
        <v>1681</v>
      </c>
      <c r="F288" s="13" t="s">
        <v>704</v>
      </c>
      <c r="G288" s="13" t="s">
        <v>705</v>
      </c>
      <c r="H288" s="13" t="s">
        <v>565</v>
      </c>
      <c r="I288" s="13">
        <v>4</v>
      </c>
      <c r="J288" s="13">
        <v>1</v>
      </c>
      <c r="K288" s="11">
        <f>IF(J288="","Assessment Pending",MAX(0,I288-J288))</f>
        <v>3</v>
      </c>
      <c r="L288" s="13" t="s">
        <v>899</v>
      </c>
      <c r="M288" s="13" t="s">
        <v>960</v>
      </c>
      <c r="N288" s="13" t="s">
        <v>2154</v>
      </c>
      <c r="O288" s="13"/>
    </row>
    <row r="289" spans="1:15" ht="45" customHeight="1">
      <c r="A289" s="14" t="s">
        <v>2441</v>
      </c>
      <c r="B289" s="14" t="s">
        <v>318</v>
      </c>
      <c r="C289" s="14" t="s">
        <v>1679</v>
      </c>
      <c r="D289" s="14" t="s">
        <v>497</v>
      </c>
      <c r="E289" s="14" t="s">
        <v>1681</v>
      </c>
      <c r="F289" s="14" t="s">
        <v>711</v>
      </c>
      <c r="G289" s="14" t="s">
        <v>712</v>
      </c>
      <c r="H289" s="14" t="s">
        <v>565</v>
      </c>
      <c r="I289" s="14">
        <v>4</v>
      </c>
      <c r="J289" s="14">
        <v>1</v>
      </c>
      <c r="K289" s="12">
        <f>IF(J289="","Assessment Pending",MAX(0,I289-J289))</f>
        <v>3</v>
      </c>
      <c r="L289" s="14" t="s">
        <v>899</v>
      </c>
      <c r="M289" s="14" t="s">
        <v>934</v>
      </c>
      <c r="N289" s="14" t="s">
        <v>2154</v>
      </c>
      <c r="O289" s="14"/>
    </row>
    <row r="290" spans="1:15" ht="45" customHeight="1">
      <c r="A290" s="13" t="s">
        <v>2442</v>
      </c>
      <c r="B290" s="13" t="s">
        <v>318</v>
      </c>
      <c r="C290" s="13" t="s">
        <v>1679</v>
      </c>
      <c r="D290" s="13" t="s">
        <v>497</v>
      </c>
      <c r="E290" s="13" t="s">
        <v>1681</v>
      </c>
      <c r="F290" s="13" t="s">
        <v>718</v>
      </c>
      <c r="G290" s="13" t="s">
        <v>719</v>
      </c>
      <c r="H290" s="13" t="s">
        <v>565</v>
      </c>
      <c r="I290" s="13">
        <v>4</v>
      </c>
      <c r="J290" s="13">
        <v>1</v>
      </c>
      <c r="K290" s="11">
        <f>IF(J290="","Assessment Pending",MAX(0,I290-J290))</f>
        <v>3</v>
      </c>
      <c r="L290" s="13" t="s">
        <v>899</v>
      </c>
      <c r="M290" s="13" t="s">
        <v>937</v>
      </c>
      <c r="N290" s="13" t="s">
        <v>2154</v>
      </c>
      <c r="O290" s="13"/>
    </row>
    <row r="291" spans="1:15" ht="45" customHeight="1">
      <c r="A291" s="14" t="s">
        <v>2443</v>
      </c>
      <c r="B291" s="14" t="s">
        <v>318</v>
      </c>
      <c r="C291" s="14" t="s">
        <v>1679</v>
      </c>
      <c r="D291" s="14" t="s">
        <v>497</v>
      </c>
      <c r="E291" s="14" t="s">
        <v>1681</v>
      </c>
      <c r="F291" s="14" t="s">
        <v>725</v>
      </c>
      <c r="G291" s="14" t="s">
        <v>726</v>
      </c>
      <c r="H291" s="14" t="s">
        <v>565</v>
      </c>
      <c r="I291" s="14">
        <v>4</v>
      </c>
      <c r="J291" s="14">
        <v>2</v>
      </c>
      <c r="K291" s="12">
        <f>IF(J291="","Assessment Pending",MAX(0,I291-J291))</f>
        <v>2</v>
      </c>
      <c r="L291" s="14" t="s">
        <v>899</v>
      </c>
      <c r="M291" s="14" t="s">
        <v>942</v>
      </c>
      <c r="N291" s="14" t="s">
        <v>2154</v>
      </c>
      <c r="O291" s="14"/>
    </row>
    <row r="292" spans="1:15" ht="45" customHeight="1">
      <c r="A292" s="13" t="s">
        <v>2444</v>
      </c>
      <c r="B292" s="13" t="s">
        <v>318</v>
      </c>
      <c r="C292" s="13" t="s">
        <v>1679</v>
      </c>
      <c r="D292" s="13" t="s">
        <v>497</v>
      </c>
      <c r="E292" s="13" t="s">
        <v>1681</v>
      </c>
      <c r="F292" s="13" t="s">
        <v>729</v>
      </c>
      <c r="G292" s="13" t="s">
        <v>629</v>
      </c>
      <c r="H292" s="13" t="s">
        <v>630</v>
      </c>
      <c r="I292" s="13">
        <v>4</v>
      </c>
      <c r="J292" s="13">
        <v>1</v>
      </c>
      <c r="K292" s="11">
        <f>IF(J292="","Assessment Pending",MAX(0,I292-J292))</f>
        <v>3</v>
      </c>
      <c r="L292" s="13" t="s">
        <v>899</v>
      </c>
      <c r="M292" s="13" t="s">
        <v>958</v>
      </c>
      <c r="N292" s="13" t="s">
        <v>2154</v>
      </c>
      <c r="O292" s="13"/>
    </row>
    <row r="293" spans="1:15" ht="45" customHeight="1">
      <c r="A293" s="14" t="s">
        <v>2445</v>
      </c>
      <c r="B293" s="14" t="s">
        <v>318</v>
      </c>
      <c r="C293" s="14" t="s">
        <v>1679</v>
      </c>
      <c r="D293" s="14" t="s">
        <v>497</v>
      </c>
      <c r="E293" s="14" t="s">
        <v>1681</v>
      </c>
      <c r="F293" s="14" t="s">
        <v>730</v>
      </c>
      <c r="G293" s="14" t="s">
        <v>731</v>
      </c>
      <c r="H293" s="14" t="s">
        <v>630</v>
      </c>
      <c r="I293" s="14">
        <v>4</v>
      </c>
      <c r="J293" s="14">
        <v>1</v>
      </c>
      <c r="K293" s="12">
        <f>IF(J293="","Assessment Pending",MAX(0,I293-J293))</f>
        <v>3</v>
      </c>
      <c r="L293" s="14" t="s">
        <v>899</v>
      </c>
      <c r="M293" s="14" t="s">
        <v>962</v>
      </c>
      <c r="N293" s="14" t="s">
        <v>2154</v>
      </c>
      <c r="O293" s="14"/>
    </row>
    <row r="294" spans="1:15" ht="45" customHeight="1">
      <c r="A294" s="13" t="s">
        <v>2446</v>
      </c>
      <c r="B294" s="13" t="s">
        <v>318</v>
      </c>
      <c r="C294" s="13" t="s">
        <v>1684</v>
      </c>
      <c r="D294" s="13" t="s">
        <v>497</v>
      </c>
      <c r="E294" s="13" t="s">
        <v>1681</v>
      </c>
      <c r="F294" s="13" t="s">
        <v>678</v>
      </c>
      <c r="G294" s="13" t="s">
        <v>564</v>
      </c>
      <c r="H294" s="13" t="s">
        <v>565</v>
      </c>
      <c r="I294" s="13">
        <v>4</v>
      </c>
      <c r="J294" s="13">
        <v>4</v>
      </c>
      <c r="K294" s="11">
        <f>IF(J294="","Assessment Pending",MAX(0,I294-J294))</f>
        <v>0</v>
      </c>
      <c r="L294" s="13" t="s">
        <v>2151</v>
      </c>
      <c r="M294" s="13" t="s">
        <v>948</v>
      </c>
      <c r="N294" s="13" t="s">
        <v>2152</v>
      </c>
      <c r="O294" s="13" t="s">
        <v>2155</v>
      </c>
    </row>
    <row r="295" spans="1:15" ht="45" customHeight="1">
      <c r="A295" s="14" t="s">
        <v>2447</v>
      </c>
      <c r="B295" s="14" t="s">
        <v>318</v>
      </c>
      <c r="C295" s="14" t="s">
        <v>1684</v>
      </c>
      <c r="D295" s="14" t="s">
        <v>497</v>
      </c>
      <c r="E295" s="14" t="s">
        <v>1681</v>
      </c>
      <c r="F295" s="14" t="s">
        <v>683</v>
      </c>
      <c r="G295" s="14" t="s">
        <v>684</v>
      </c>
      <c r="H295" s="14" t="s">
        <v>565</v>
      </c>
      <c r="I295" s="14">
        <v>4</v>
      </c>
      <c r="J295" s="14">
        <v>4</v>
      </c>
      <c r="K295" s="12">
        <f>IF(J295="","Assessment Pending",MAX(0,I295-J295))</f>
        <v>0</v>
      </c>
      <c r="L295" s="14" t="s">
        <v>2151</v>
      </c>
      <c r="M295" s="14" t="s">
        <v>956</v>
      </c>
      <c r="N295" s="14" t="s">
        <v>2152</v>
      </c>
      <c r="O295" s="14"/>
    </row>
    <row r="296" spans="1:15" ht="45" customHeight="1">
      <c r="A296" s="13" t="s">
        <v>2448</v>
      </c>
      <c r="B296" s="13" t="s">
        <v>318</v>
      </c>
      <c r="C296" s="13" t="s">
        <v>1684</v>
      </c>
      <c r="D296" s="13" t="s">
        <v>497</v>
      </c>
      <c r="E296" s="13" t="s">
        <v>1681</v>
      </c>
      <c r="F296" s="13" t="s">
        <v>690</v>
      </c>
      <c r="G296" s="13" t="s">
        <v>691</v>
      </c>
      <c r="H296" s="13" t="s">
        <v>565</v>
      </c>
      <c r="I296" s="13">
        <v>4</v>
      </c>
      <c r="J296" s="13">
        <v>4</v>
      </c>
      <c r="K296" s="11">
        <f>IF(J296="","Assessment Pending",MAX(0,I296-J296))</f>
        <v>0</v>
      </c>
      <c r="L296" s="13" t="s">
        <v>2151</v>
      </c>
      <c r="M296" s="13" t="s">
        <v>951</v>
      </c>
      <c r="N296" s="13" t="s">
        <v>2152</v>
      </c>
      <c r="O296" s="13"/>
    </row>
    <row r="297" spans="1:15" ht="45" customHeight="1">
      <c r="A297" s="14" t="s">
        <v>2449</v>
      </c>
      <c r="B297" s="14" t="s">
        <v>318</v>
      </c>
      <c r="C297" s="14" t="s">
        <v>1684</v>
      </c>
      <c r="D297" s="14" t="s">
        <v>497</v>
      </c>
      <c r="E297" s="14" t="s">
        <v>1681</v>
      </c>
      <c r="F297" s="14" t="s">
        <v>697</v>
      </c>
      <c r="G297" s="14" t="s">
        <v>698</v>
      </c>
      <c r="H297" s="14" t="s">
        <v>565</v>
      </c>
      <c r="I297" s="14">
        <v>4</v>
      </c>
      <c r="J297" s="14">
        <v>3</v>
      </c>
      <c r="K297" s="12">
        <f>IF(J297="","Assessment Pending",MAX(0,I297-J297))</f>
        <v>1</v>
      </c>
      <c r="L297" s="14" t="s">
        <v>2157</v>
      </c>
      <c r="M297" s="14" t="s">
        <v>944</v>
      </c>
      <c r="N297" s="14" t="s">
        <v>2154</v>
      </c>
      <c r="O297" s="14"/>
    </row>
    <row r="298" spans="1:15" ht="45" customHeight="1">
      <c r="A298" s="13" t="s">
        <v>2450</v>
      </c>
      <c r="B298" s="13" t="s">
        <v>318</v>
      </c>
      <c r="C298" s="13" t="s">
        <v>1684</v>
      </c>
      <c r="D298" s="13" t="s">
        <v>497</v>
      </c>
      <c r="E298" s="13" t="s">
        <v>1681</v>
      </c>
      <c r="F298" s="13" t="s">
        <v>704</v>
      </c>
      <c r="G298" s="13" t="s">
        <v>705</v>
      </c>
      <c r="H298" s="13" t="s">
        <v>565</v>
      </c>
      <c r="I298" s="13">
        <v>4</v>
      </c>
      <c r="J298" s="13">
        <v>4</v>
      </c>
      <c r="K298" s="11">
        <f>IF(J298="","Assessment Pending",MAX(0,I298-J298))</f>
        <v>0</v>
      </c>
      <c r="L298" s="13" t="s">
        <v>2151</v>
      </c>
      <c r="M298" s="13" t="s">
        <v>960</v>
      </c>
      <c r="N298" s="13" t="s">
        <v>2152</v>
      </c>
      <c r="O298" s="13"/>
    </row>
    <row r="299" spans="1:15" ht="45" customHeight="1">
      <c r="A299" s="14" t="s">
        <v>2451</v>
      </c>
      <c r="B299" s="14" t="s">
        <v>318</v>
      </c>
      <c r="C299" s="14" t="s">
        <v>1684</v>
      </c>
      <c r="D299" s="14" t="s">
        <v>497</v>
      </c>
      <c r="E299" s="14" t="s">
        <v>1681</v>
      </c>
      <c r="F299" s="14" t="s">
        <v>711</v>
      </c>
      <c r="G299" s="14" t="s">
        <v>712</v>
      </c>
      <c r="H299" s="14" t="s">
        <v>565</v>
      </c>
      <c r="I299" s="14">
        <v>4</v>
      </c>
      <c r="J299" s="14">
        <v>4</v>
      </c>
      <c r="K299" s="12">
        <f>IF(J299="","Assessment Pending",MAX(0,I299-J299))</f>
        <v>0</v>
      </c>
      <c r="L299" s="14" t="s">
        <v>2151</v>
      </c>
      <c r="M299" s="14" t="s">
        <v>934</v>
      </c>
      <c r="N299" s="14" t="s">
        <v>2152</v>
      </c>
      <c r="O299" s="14"/>
    </row>
    <row r="300" spans="1:15" ht="45" customHeight="1">
      <c r="A300" s="13" t="s">
        <v>2452</v>
      </c>
      <c r="B300" s="13" t="s">
        <v>318</v>
      </c>
      <c r="C300" s="13" t="s">
        <v>1684</v>
      </c>
      <c r="D300" s="13" t="s">
        <v>497</v>
      </c>
      <c r="E300" s="13" t="s">
        <v>1681</v>
      </c>
      <c r="F300" s="13" t="s">
        <v>718</v>
      </c>
      <c r="G300" s="13" t="s">
        <v>719</v>
      </c>
      <c r="H300" s="13" t="s">
        <v>565</v>
      </c>
      <c r="I300" s="13">
        <v>4</v>
      </c>
      <c r="J300" s="13">
        <v>4</v>
      </c>
      <c r="K300" s="11">
        <f>IF(J300="","Assessment Pending",MAX(0,I300-J300))</f>
        <v>0</v>
      </c>
      <c r="L300" s="13" t="s">
        <v>2151</v>
      </c>
      <c r="M300" s="13" t="s">
        <v>937</v>
      </c>
      <c r="N300" s="13" t="s">
        <v>2152</v>
      </c>
      <c r="O300" s="13"/>
    </row>
    <row r="301" spans="1:15" ht="45" customHeight="1">
      <c r="A301" s="14" t="s">
        <v>2453</v>
      </c>
      <c r="B301" s="14" t="s">
        <v>318</v>
      </c>
      <c r="C301" s="14" t="s">
        <v>1684</v>
      </c>
      <c r="D301" s="14" t="s">
        <v>497</v>
      </c>
      <c r="E301" s="14" t="s">
        <v>1681</v>
      </c>
      <c r="F301" s="14" t="s">
        <v>725</v>
      </c>
      <c r="G301" s="14" t="s">
        <v>726</v>
      </c>
      <c r="H301" s="14" t="s">
        <v>565</v>
      </c>
      <c r="I301" s="14">
        <v>4</v>
      </c>
      <c r="J301" s="14">
        <v>4</v>
      </c>
      <c r="K301" s="12">
        <f>IF(J301="","Assessment Pending",MAX(0,I301-J301))</f>
        <v>0</v>
      </c>
      <c r="L301" s="14" t="s">
        <v>2151</v>
      </c>
      <c r="M301" s="14" t="s">
        <v>942</v>
      </c>
      <c r="N301" s="14" t="s">
        <v>2152</v>
      </c>
      <c r="O301" s="14"/>
    </row>
    <row r="302" spans="1:15" ht="45" customHeight="1">
      <c r="A302" s="13" t="s">
        <v>2454</v>
      </c>
      <c r="B302" s="13" t="s">
        <v>318</v>
      </c>
      <c r="C302" s="13" t="s">
        <v>1684</v>
      </c>
      <c r="D302" s="13" t="s">
        <v>497</v>
      </c>
      <c r="E302" s="13" t="s">
        <v>1681</v>
      </c>
      <c r="F302" s="13" t="s">
        <v>729</v>
      </c>
      <c r="G302" s="13" t="s">
        <v>629</v>
      </c>
      <c r="H302" s="13" t="s">
        <v>630</v>
      </c>
      <c r="I302" s="13">
        <v>4</v>
      </c>
      <c r="J302" s="13">
        <v>4</v>
      </c>
      <c r="K302" s="11">
        <f>IF(J302="","Assessment Pending",MAX(0,I302-J302))</f>
        <v>0</v>
      </c>
      <c r="L302" s="13" t="s">
        <v>2151</v>
      </c>
      <c r="M302" s="13" t="s">
        <v>958</v>
      </c>
      <c r="N302" s="13" t="s">
        <v>2152</v>
      </c>
      <c r="O302" s="13"/>
    </row>
    <row r="303" spans="1:15" ht="45" customHeight="1">
      <c r="A303" s="14" t="s">
        <v>2455</v>
      </c>
      <c r="B303" s="14" t="s">
        <v>318</v>
      </c>
      <c r="C303" s="14" t="s">
        <v>1684</v>
      </c>
      <c r="D303" s="14" t="s">
        <v>497</v>
      </c>
      <c r="E303" s="14" t="s">
        <v>1681</v>
      </c>
      <c r="F303" s="14" t="s">
        <v>730</v>
      </c>
      <c r="G303" s="14" t="s">
        <v>731</v>
      </c>
      <c r="H303" s="14" t="s">
        <v>630</v>
      </c>
      <c r="I303" s="14">
        <v>4</v>
      </c>
      <c r="J303" s="14">
        <v>3</v>
      </c>
      <c r="K303" s="12">
        <f>IF(J303="","Assessment Pending",MAX(0,I303-J303))</f>
        <v>1</v>
      </c>
      <c r="L303" s="14" t="s">
        <v>2157</v>
      </c>
      <c r="M303" s="14" t="s">
        <v>962</v>
      </c>
      <c r="N303" s="14" t="s">
        <v>2154</v>
      </c>
      <c r="O303" s="14"/>
    </row>
    <row r="304" spans="1:15" ht="45" customHeight="1">
      <c r="A304" s="13" t="s">
        <v>2456</v>
      </c>
      <c r="B304" s="13" t="s">
        <v>318</v>
      </c>
      <c r="C304" s="13" t="s">
        <v>1686</v>
      </c>
      <c r="D304" s="13" t="s">
        <v>497</v>
      </c>
      <c r="E304" s="13" t="s">
        <v>1681</v>
      </c>
      <c r="F304" s="13" t="s">
        <v>678</v>
      </c>
      <c r="G304" s="13" t="s">
        <v>564</v>
      </c>
      <c r="H304" s="13" t="s">
        <v>565</v>
      </c>
      <c r="I304" s="13">
        <v>4</v>
      </c>
      <c r="J304" s="13">
        <v>4</v>
      </c>
      <c r="K304" s="11">
        <f>IF(J304="","Assessment Pending",MAX(0,I304-J304))</f>
        <v>0</v>
      </c>
      <c r="L304" s="13" t="s">
        <v>2151</v>
      </c>
      <c r="M304" s="13" t="s">
        <v>948</v>
      </c>
      <c r="N304" s="13" t="s">
        <v>2152</v>
      </c>
      <c r="O304" s="13" t="s">
        <v>2155</v>
      </c>
    </row>
    <row r="305" spans="1:15" ht="45" customHeight="1">
      <c r="A305" s="14" t="s">
        <v>2457</v>
      </c>
      <c r="B305" s="14" t="s">
        <v>318</v>
      </c>
      <c r="C305" s="14" t="s">
        <v>1686</v>
      </c>
      <c r="D305" s="14" t="s">
        <v>497</v>
      </c>
      <c r="E305" s="14" t="s">
        <v>1681</v>
      </c>
      <c r="F305" s="14" t="s">
        <v>683</v>
      </c>
      <c r="G305" s="14" t="s">
        <v>684</v>
      </c>
      <c r="H305" s="14" t="s">
        <v>565</v>
      </c>
      <c r="I305" s="14">
        <v>4</v>
      </c>
      <c r="J305" s="14">
        <v>3</v>
      </c>
      <c r="K305" s="12">
        <f>IF(J305="","Assessment Pending",MAX(0,I305-J305))</f>
        <v>1</v>
      </c>
      <c r="L305" s="14" t="s">
        <v>2157</v>
      </c>
      <c r="M305" s="14" t="s">
        <v>956</v>
      </c>
      <c r="N305" s="14" t="s">
        <v>2154</v>
      </c>
      <c r="O305" s="14"/>
    </row>
    <row r="306" spans="1:15" ht="45" customHeight="1">
      <c r="A306" s="13" t="s">
        <v>2458</v>
      </c>
      <c r="B306" s="13" t="s">
        <v>318</v>
      </c>
      <c r="C306" s="13" t="s">
        <v>1686</v>
      </c>
      <c r="D306" s="13" t="s">
        <v>497</v>
      </c>
      <c r="E306" s="13" t="s">
        <v>1681</v>
      </c>
      <c r="F306" s="13" t="s">
        <v>690</v>
      </c>
      <c r="G306" s="13" t="s">
        <v>691</v>
      </c>
      <c r="H306" s="13" t="s">
        <v>565</v>
      </c>
      <c r="I306" s="13">
        <v>4</v>
      </c>
      <c r="J306" s="13">
        <v>3</v>
      </c>
      <c r="K306" s="11">
        <f>IF(J306="","Assessment Pending",MAX(0,I306-J306))</f>
        <v>1</v>
      </c>
      <c r="L306" s="13" t="s">
        <v>2157</v>
      </c>
      <c r="M306" s="13" t="s">
        <v>951</v>
      </c>
      <c r="N306" s="13" t="s">
        <v>2154</v>
      </c>
      <c r="O306" s="13"/>
    </row>
    <row r="307" spans="1:15" ht="45" customHeight="1">
      <c r="A307" s="14" t="s">
        <v>2459</v>
      </c>
      <c r="B307" s="14" t="s">
        <v>318</v>
      </c>
      <c r="C307" s="14" t="s">
        <v>1686</v>
      </c>
      <c r="D307" s="14" t="s">
        <v>497</v>
      </c>
      <c r="E307" s="14" t="s">
        <v>1681</v>
      </c>
      <c r="F307" s="14" t="s">
        <v>697</v>
      </c>
      <c r="G307" s="14" t="s">
        <v>698</v>
      </c>
      <c r="H307" s="14" t="s">
        <v>565</v>
      </c>
      <c r="I307" s="14">
        <v>4</v>
      </c>
      <c r="J307" s="14">
        <v>3</v>
      </c>
      <c r="K307" s="12">
        <f>IF(J307="","Assessment Pending",MAX(0,I307-J307))</f>
        <v>1</v>
      </c>
      <c r="L307" s="14" t="s">
        <v>2157</v>
      </c>
      <c r="M307" s="14" t="s">
        <v>944</v>
      </c>
      <c r="N307" s="14" t="s">
        <v>2154</v>
      </c>
      <c r="O307" s="14"/>
    </row>
    <row r="308" spans="1:15" ht="45" customHeight="1">
      <c r="A308" s="13" t="s">
        <v>2460</v>
      </c>
      <c r="B308" s="13" t="s">
        <v>318</v>
      </c>
      <c r="C308" s="13" t="s">
        <v>1686</v>
      </c>
      <c r="D308" s="13" t="s">
        <v>497</v>
      </c>
      <c r="E308" s="13" t="s">
        <v>1681</v>
      </c>
      <c r="F308" s="13" t="s">
        <v>704</v>
      </c>
      <c r="G308" s="13" t="s">
        <v>705</v>
      </c>
      <c r="H308" s="13" t="s">
        <v>565</v>
      </c>
      <c r="I308" s="13">
        <v>4</v>
      </c>
      <c r="J308" s="13">
        <v>4</v>
      </c>
      <c r="K308" s="11">
        <f>IF(J308="","Assessment Pending",MAX(0,I308-J308))</f>
        <v>0</v>
      </c>
      <c r="L308" s="13" t="s">
        <v>2151</v>
      </c>
      <c r="M308" s="13" t="s">
        <v>960</v>
      </c>
      <c r="N308" s="13" t="s">
        <v>2152</v>
      </c>
      <c r="O308" s="13"/>
    </row>
    <row r="309" spans="1:15" ht="45" customHeight="1">
      <c r="A309" s="14" t="s">
        <v>2461</v>
      </c>
      <c r="B309" s="14" t="s">
        <v>318</v>
      </c>
      <c r="C309" s="14" t="s">
        <v>1686</v>
      </c>
      <c r="D309" s="14" t="s">
        <v>497</v>
      </c>
      <c r="E309" s="14" t="s">
        <v>1681</v>
      </c>
      <c r="F309" s="14" t="s">
        <v>711</v>
      </c>
      <c r="G309" s="14" t="s">
        <v>712</v>
      </c>
      <c r="H309" s="14" t="s">
        <v>565</v>
      </c>
      <c r="I309" s="14">
        <v>4</v>
      </c>
      <c r="J309" s="14">
        <v>4</v>
      </c>
      <c r="K309" s="12">
        <f>IF(J309="","Assessment Pending",MAX(0,I309-J309))</f>
        <v>0</v>
      </c>
      <c r="L309" s="14" t="s">
        <v>2151</v>
      </c>
      <c r="M309" s="14" t="s">
        <v>934</v>
      </c>
      <c r="N309" s="14" t="s">
        <v>2152</v>
      </c>
      <c r="O309" s="14"/>
    </row>
    <row r="310" spans="1:15" ht="45" customHeight="1">
      <c r="A310" s="13" t="s">
        <v>2462</v>
      </c>
      <c r="B310" s="13" t="s">
        <v>318</v>
      </c>
      <c r="C310" s="13" t="s">
        <v>1686</v>
      </c>
      <c r="D310" s="13" t="s">
        <v>497</v>
      </c>
      <c r="E310" s="13" t="s">
        <v>1681</v>
      </c>
      <c r="F310" s="13" t="s">
        <v>718</v>
      </c>
      <c r="G310" s="13" t="s">
        <v>719</v>
      </c>
      <c r="H310" s="13" t="s">
        <v>565</v>
      </c>
      <c r="I310" s="13">
        <v>4</v>
      </c>
      <c r="J310" s="13">
        <v>3</v>
      </c>
      <c r="K310" s="11">
        <f>IF(J310="","Assessment Pending",MAX(0,I310-J310))</f>
        <v>1</v>
      </c>
      <c r="L310" s="13" t="s">
        <v>2157</v>
      </c>
      <c r="M310" s="13" t="s">
        <v>937</v>
      </c>
      <c r="N310" s="13" t="s">
        <v>2154</v>
      </c>
      <c r="O310" s="13"/>
    </row>
    <row r="311" spans="1:15" ht="45" customHeight="1">
      <c r="A311" s="14" t="s">
        <v>2463</v>
      </c>
      <c r="B311" s="14" t="s">
        <v>318</v>
      </c>
      <c r="C311" s="14" t="s">
        <v>1686</v>
      </c>
      <c r="D311" s="14" t="s">
        <v>497</v>
      </c>
      <c r="E311" s="14" t="s">
        <v>1681</v>
      </c>
      <c r="F311" s="14" t="s">
        <v>725</v>
      </c>
      <c r="G311" s="14" t="s">
        <v>726</v>
      </c>
      <c r="H311" s="14" t="s">
        <v>565</v>
      </c>
      <c r="I311" s="14">
        <v>4</v>
      </c>
      <c r="J311" s="14">
        <v>4</v>
      </c>
      <c r="K311" s="12">
        <f>IF(J311="","Assessment Pending",MAX(0,I311-J311))</f>
        <v>0</v>
      </c>
      <c r="L311" s="14" t="s">
        <v>2151</v>
      </c>
      <c r="M311" s="14" t="s">
        <v>942</v>
      </c>
      <c r="N311" s="14" t="s">
        <v>2152</v>
      </c>
      <c r="O311" s="14"/>
    </row>
    <row r="312" spans="1:15" ht="45" customHeight="1">
      <c r="A312" s="13" t="s">
        <v>2464</v>
      </c>
      <c r="B312" s="13" t="s">
        <v>318</v>
      </c>
      <c r="C312" s="13" t="s">
        <v>1686</v>
      </c>
      <c r="D312" s="13" t="s">
        <v>497</v>
      </c>
      <c r="E312" s="13" t="s">
        <v>1681</v>
      </c>
      <c r="F312" s="13" t="s">
        <v>729</v>
      </c>
      <c r="G312" s="13" t="s">
        <v>629</v>
      </c>
      <c r="H312" s="13" t="s">
        <v>630</v>
      </c>
      <c r="I312" s="13">
        <v>4</v>
      </c>
      <c r="J312" s="13">
        <v>4</v>
      </c>
      <c r="K312" s="11">
        <f>IF(J312="","Assessment Pending",MAX(0,I312-J312))</f>
        <v>0</v>
      </c>
      <c r="L312" s="13" t="s">
        <v>2151</v>
      </c>
      <c r="M312" s="13" t="s">
        <v>958</v>
      </c>
      <c r="N312" s="13" t="s">
        <v>2152</v>
      </c>
      <c r="O312" s="13"/>
    </row>
    <row r="313" spans="1:15" ht="45" customHeight="1">
      <c r="A313" s="14" t="s">
        <v>2465</v>
      </c>
      <c r="B313" s="14" t="s">
        <v>318</v>
      </c>
      <c r="C313" s="14" t="s">
        <v>1686</v>
      </c>
      <c r="D313" s="14" t="s">
        <v>497</v>
      </c>
      <c r="E313" s="14" t="s">
        <v>1681</v>
      </c>
      <c r="F313" s="14" t="s">
        <v>730</v>
      </c>
      <c r="G313" s="14" t="s">
        <v>731</v>
      </c>
      <c r="H313" s="14" t="s">
        <v>630</v>
      </c>
      <c r="I313" s="14">
        <v>4</v>
      </c>
      <c r="J313" s="14">
        <v>4</v>
      </c>
      <c r="K313" s="12">
        <f>IF(J313="","Assessment Pending",MAX(0,I313-J313))</f>
        <v>0</v>
      </c>
      <c r="L313" s="14" t="s">
        <v>2151</v>
      </c>
      <c r="M313" s="14" t="s">
        <v>962</v>
      </c>
      <c r="N313" s="14" t="s">
        <v>2152</v>
      </c>
      <c r="O313" s="14"/>
    </row>
    <row r="314" spans="1:15" ht="45" customHeight="1">
      <c r="A314" s="13" t="s">
        <v>2466</v>
      </c>
      <c r="B314" s="13" t="s">
        <v>318</v>
      </c>
      <c r="C314" s="13" t="s">
        <v>1688</v>
      </c>
      <c r="D314" s="13" t="s">
        <v>497</v>
      </c>
      <c r="E314" s="13" t="s">
        <v>1681</v>
      </c>
      <c r="F314" s="13" t="s">
        <v>678</v>
      </c>
      <c r="G314" s="13" t="s">
        <v>564</v>
      </c>
      <c r="H314" s="13" t="s">
        <v>565</v>
      </c>
      <c r="I314" s="13">
        <v>4</v>
      </c>
      <c r="J314" s="13">
        <v>3</v>
      </c>
      <c r="K314" s="11">
        <f>IF(J314="","Assessment Pending",MAX(0,I314-J314))</f>
        <v>1</v>
      </c>
      <c r="L314" s="13" t="s">
        <v>2157</v>
      </c>
      <c r="M314" s="13" t="s">
        <v>948</v>
      </c>
      <c r="N314" s="13" t="s">
        <v>2154</v>
      </c>
      <c r="O314" s="13" t="s">
        <v>2155</v>
      </c>
    </row>
    <row r="315" spans="1:15" ht="45" customHeight="1">
      <c r="A315" s="14" t="s">
        <v>2467</v>
      </c>
      <c r="B315" s="14" t="s">
        <v>318</v>
      </c>
      <c r="C315" s="14" t="s">
        <v>1688</v>
      </c>
      <c r="D315" s="14" t="s">
        <v>497</v>
      </c>
      <c r="E315" s="14" t="s">
        <v>1681</v>
      </c>
      <c r="F315" s="14" t="s">
        <v>683</v>
      </c>
      <c r="G315" s="14" t="s">
        <v>684</v>
      </c>
      <c r="H315" s="14" t="s">
        <v>565</v>
      </c>
      <c r="I315" s="14">
        <v>4</v>
      </c>
      <c r="J315" s="14">
        <v>4</v>
      </c>
      <c r="K315" s="12">
        <f>IF(J315="","Assessment Pending",MAX(0,I315-J315))</f>
        <v>0</v>
      </c>
      <c r="L315" s="14" t="s">
        <v>2151</v>
      </c>
      <c r="M315" s="14" t="s">
        <v>956</v>
      </c>
      <c r="N315" s="14" t="s">
        <v>2152</v>
      </c>
      <c r="O315" s="14"/>
    </row>
    <row r="316" spans="1:15" ht="45" customHeight="1">
      <c r="A316" s="13" t="s">
        <v>2468</v>
      </c>
      <c r="B316" s="13" t="s">
        <v>318</v>
      </c>
      <c r="C316" s="13" t="s">
        <v>1688</v>
      </c>
      <c r="D316" s="13" t="s">
        <v>497</v>
      </c>
      <c r="E316" s="13" t="s">
        <v>1681</v>
      </c>
      <c r="F316" s="13" t="s">
        <v>690</v>
      </c>
      <c r="G316" s="13" t="s">
        <v>691</v>
      </c>
      <c r="H316" s="13" t="s">
        <v>565</v>
      </c>
      <c r="I316" s="13">
        <v>4</v>
      </c>
      <c r="J316" s="13">
        <v>3</v>
      </c>
      <c r="K316" s="11">
        <f>IF(J316="","Assessment Pending",MAX(0,I316-J316))</f>
        <v>1</v>
      </c>
      <c r="L316" s="13" t="s">
        <v>2157</v>
      </c>
      <c r="M316" s="13" t="s">
        <v>951</v>
      </c>
      <c r="N316" s="13" t="s">
        <v>2154</v>
      </c>
      <c r="O316" s="13"/>
    </row>
    <row r="317" spans="1:15" ht="45" customHeight="1">
      <c r="A317" s="14" t="s">
        <v>2469</v>
      </c>
      <c r="B317" s="14" t="s">
        <v>318</v>
      </c>
      <c r="C317" s="14" t="s">
        <v>1688</v>
      </c>
      <c r="D317" s="14" t="s">
        <v>497</v>
      </c>
      <c r="E317" s="14" t="s">
        <v>1681</v>
      </c>
      <c r="F317" s="14" t="s">
        <v>697</v>
      </c>
      <c r="G317" s="14" t="s">
        <v>698</v>
      </c>
      <c r="H317" s="14" t="s">
        <v>565</v>
      </c>
      <c r="I317" s="14">
        <v>4</v>
      </c>
      <c r="J317" s="14">
        <v>4</v>
      </c>
      <c r="K317" s="12">
        <f>IF(J317="","Assessment Pending",MAX(0,I317-J317))</f>
        <v>0</v>
      </c>
      <c r="L317" s="14" t="s">
        <v>2151</v>
      </c>
      <c r="M317" s="14" t="s">
        <v>944</v>
      </c>
      <c r="N317" s="14" t="s">
        <v>2152</v>
      </c>
      <c r="O317" s="14"/>
    </row>
    <row r="318" spans="1:15" ht="45" customHeight="1">
      <c r="A318" s="13" t="s">
        <v>2470</v>
      </c>
      <c r="B318" s="13" t="s">
        <v>318</v>
      </c>
      <c r="C318" s="13" t="s">
        <v>1688</v>
      </c>
      <c r="D318" s="13" t="s">
        <v>497</v>
      </c>
      <c r="E318" s="13" t="s">
        <v>1681</v>
      </c>
      <c r="F318" s="13" t="s">
        <v>704</v>
      </c>
      <c r="G318" s="13" t="s">
        <v>705</v>
      </c>
      <c r="H318" s="13" t="s">
        <v>565</v>
      </c>
      <c r="I318" s="13">
        <v>4</v>
      </c>
      <c r="J318" s="13">
        <v>3</v>
      </c>
      <c r="K318" s="11">
        <f>IF(J318="","Assessment Pending",MAX(0,I318-J318))</f>
        <v>1</v>
      </c>
      <c r="L318" s="13" t="s">
        <v>2157</v>
      </c>
      <c r="M318" s="13" t="s">
        <v>960</v>
      </c>
      <c r="N318" s="13" t="s">
        <v>2154</v>
      </c>
      <c r="O318" s="13"/>
    </row>
    <row r="319" spans="1:15" ht="45" customHeight="1">
      <c r="A319" s="14" t="s">
        <v>2471</v>
      </c>
      <c r="B319" s="14" t="s">
        <v>318</v>
      </c>
      <c r="C319" s="14" t="s">
        <v>1688</v>
      </c>
      <c r="D319" s="14" t="s">
        <v>497</v>
      </c>
      <c r="E319" s="14" t="s">
        <v>1681</v>
      </c>
      <c r="F319" s="14" t="s">
        <v>711</v>
      </c>
      <c r="G319" s="14" t="s">
        <v>712</v>
      </c>
      <c r="H319" s="14" t="s">
        <v>565</v>
      </c>
      <c r="I319" s="14">
        <v>4</v>
      </c>
      <c r="J319" s="14">
        <v>4</v>
      </c>
      <c r="K319" s="12">
        <f>IF(J319="","Assessment Pending",MAX(0,I319-J319))</f>
        <v>0</v>
      </c>
      <c r="L319" s="14" t="s">
        <v>2151</v>
      </c>
      <c r="M319" s="14" t="s">
        <v>934</v>
      </c>
      <c r="N319" s="14" t="s">
        <v>2152</v>
      </c>
      <c r="O319" s="14"/>
    </row>
    <row r="320" spans="1:15" ht="45" customHeight="1">
      <c r="A320" s="13" t="s">
        <v>2472</v>
      </c>
      <c r="B320" s="13" t="s">
        <v>318</v>
      </c>
      <c r="C320" s="13" t="s">
        <v>1688</v>
      </c>
      <c r="D320" s="13" t="s">
        <v>497</v>
      </c>
      <c r="E320" s="13" t="s">
        <v>1681</v>
      </c>
      <c r="F320" s="13" t="s">
        <v>718</v>
      </c>
      <c r="G320" s="13" t="s">
        <v>719</v>
      </c>
      <c r="H320" s="13" t="s">
        <v>565</v>
      </c>
      <c r="I320" s="13">
        <v>4</v>
      </c>
      <c r="J320" s="13">
        <v>4</v>
      </c>
      <c r="K320" s="11">
        <f>IF(J320="","Assessment Pending",MAX(0,I320-J320))</f>
        <v>0</v>
      </c>
      <c r="L320" s="13" t="s">
        <v>2151</v>
      </c>
      <c r="M320" s="13" t="s">
        <v>937</v>
      </c>
      <c r="N320" s="13" t="s">
        <v>2152</v>
      </c>
      <c r="O320" s="13"/>
    </row>
    <row r="321" spans="1:15" ht="45" customHeight="1">
      <c r="A321" s="14" t="s">
        <v>2473</v>
      </c>
      <c r="B321" s="14" t="s">
        <v>318</v>
      </c>
      <c r="C321" s="14" t="s">
        <v>1688</v>
      </c>
      <c r="D321" s="14" t="s">
        <v>497</v>
      </c>
      <c r="E321" s="14" t="s">
        <v>1681</v>
      </c>
      <c r="F321" s="14" t="s">
        <v>725</v>
      </c>
      <c r="G321" s="14" t="s">
        <v>726</v>
      </c>
      <c r="H321" s="14" t="s">
        <v>565</v>
      </c>
      <c r="I321" s="14">
        <v>4</v>
      </c>
      <c r="J321" s="14">
        <v>3</v>
      </c>
      <c r="K321" s="12">
        <f>IF(J321="","Assessment Pending",MAX(0,I321-J321))</f>
        <v>1</v>
      </c>
      <c r="L321" s="14" t="s">
        <v>2157</v>
      </c>
      <c r="M321" s="14" t="s">
        <v>942</v>
      </c>
      <c r="N321" s="14" t="s">
        <v>2154</v>
      </c>
      <c r="O321" s="14"/>
    </row>
    <row r="322" spans="1:15" ht="45" customHeight="1">
      <c r="A322" s="13" t="s">
        <v>2474</v>
      </c>
      <c r="B322" s="13" t="s">
        <v>318</v>
      </c>
      <c r="C322" s="13" t="s">
        <v>1688</v>
      </c>
      <c r="D322" s="13" t="s">
        <v>497</v>
      </c>
      <c r="E322" s="13" t="s">
        <v>1681</v>
      </c>
      <c r="F322" s="13" t="s">
        <v>729</v>
      </c>
      <c r="G322" s="13" t="s">
        <v>629</v>
      </c>
      <c r="H322" s="13" t="s">
        <v>630</v>
      </c>
      <c r="I322" s="13">
        <v>4</v>
      </c>
      <c r="J322" s="13">
        <v>3</v>
      </c>
      <c r="K322" s="11">
        <f>IF(J322="","Assessment Pending",MAX(0,I322-J322))</f>
        <v>1</v>
      </c>
      <c r="L322" s="13" t="s">
        <v>2157</v>
      </c>
      <c r="M322" s="13" t="s">
        <v>958</v>
      </c>
      <c r="N322" s="13" t="s">
        <v>2154</v>
      </c>
      <c r="O322" s="13"/>
    </row>
    <row r="323" spans="1:15" ht="45" customHeight="1">
      <c r="A323" s="14" t="s">
        <v>2475</v>
      </c>
      <c r="B323" s="14" t="s">
        <v>318</v>
      </c>
      <c r="C323" s="14" t="s">
        <v>1688</v>
      </c>
      <c r="D323" s="14" t="s">
        <v>497</v>
      </c>
      <c r="E323" s="14" t="s">
        <v>1681</v>
      </c>
      <c r="F323" s="14" t="s">
        <v>730</v>
      </c>
      <c r="G323" s="14" t="s">
        <v>731</v>
      </c>
      <c r="H323" s="14" t="s">
        <v>630</v>
      </c>
      <c r="I323" s="14">
        <v>4</v>
      </c>
      <c r="J323" s="14">
        <v>4</v>
      </c>
      <c r="K323" s="12">
        <f>IF(J323="","Assessment Pending",MAX(0,I323-J323))</f>
        <v>0</v>
      </c>
      <c r="L323" s="14" t="s">
        <v>2151</v>
      </c>
      <c r="M323" s="14" t="s">
        <v>962</v>
      </c>
      <c r="N323" s="14" t="s">
        <v>2152</v>
      </c>
      <c r="O323" s="14"/>
    </row>
    <row r="324" spans="1:15" ht="45" customHeight="1">
      <c r="A324" s="13" t="s">
        <v>2476</v>
      </c>
      <c r="B324" s="13" t="s">
        <v>318</v>
      </c>
      <c r="C324" s="13" t="s">
        <v>1690</v>
      </c>
      <c r="D324" s="13" t="s">
        <v>500</v>
      </c>
      <c r="E324" s="13" t="s">
        <v>1692</v>
      </c>
      <c r="F324" s="13" t="s">
        <v>678</v>
      </c>
      <c r="G324" s="13" t="s">
        <v>564</v>
      </c>
      <c r="H324" s="13" t="s">
        <v>565</v>
      </c>
      <c r="I324" s="13">
        <v>3</v>
      </c>
      <c r="J324" s="13">
        <v>3</v>
      </c>
      <c r="K324" s="11">
        <f>IF(J324="","Assessment Pending",MAX(0,I324-J324))</f>
        <v>0</v>
      </c>
      <c r="L324" s="13" t="s">
        <v>2151</v>
      </c>
      <c r="M324" s="13" t="s">
        <v>948</v>
      </c>
      <c r="N324" s="13" t="s">
        <v>2152</v>
      </c>
      <c r="O324" s="13" t="s">
        <v>2155</v>
      </c>
    </row>
    <row r="325" spans="1:15" ht="45" customHeight="1">
      <c r="A325" s="14" t="s">
        <v>2477</v>
      </c>
      <c r="B325" s="14" t="s">
        <v>318</v>
      </c>
      <c r="C325" s="14" t="s">
        <v>1690</v>
      </c>
      <c r="D325" s="14" t="s">
        <v>500</v>
      </c>
      <c r="E325" s="14" t="s">
        <v>1692</v>
      </c>
      <c r="F325" s="14" t="s">
        <v>683</v>
      </c>
      <c r="G325" s="14" t="s">
        <v>684</v>
      </c>
      <c r="H325" s="14" t="s">
        <v>565</v>
      </c>
      <c r="I325" s="14">
        <v>3</v>
      </c>
      <c r="J325" s="14">
        <v>3</v>
      </c>
      <c r="K325" s="12">
        <f>IF(J325="","Assessment Pending",MAX(0,I325-J325))</f>
        <v>0</v>
      </c>
      <c r="L325" s="14" t="s">
        <v>2151</v>
      </c>
      <c r="M325" s="14" t="s">
        <v>956</v>
      </c>
      <c r="N325" s="14" t="s">
        <v>2152</v>
      </c>
      <c r="O325" s="14"/>
    </row>
    <row r="326" spans="1:15" ht="45" customHeight="1">
      <c r="A326" s="13" t="s">
        <v>2478</v>
      </c>
      <c r="B326" s="13" t="s">
        <v>318</v>
      </c>
      <c r="C326" s="13" t="s">
        <v>1690</v>
      </c>
      <c r="D326" s="13" t="s">
        <v>500</v>
      </c>
      <c r="E326" s="13" t="s">
        <v>1692</v>
      </c>
      <c r="F326" s="13" t="s">
        <v>690</v>
      </c>
      <c r="G326" s="13" t="s">
        <v>691</v>
      </c>
      <c r="H326" s="13" t="s">
        <v>565</v>
      </c>
      <c r="I326" s="13">
        <v>3</v>
      </c>
      <c r="J326" s="13">
        <v>3</v>
      </c>
      <c r="K326" s="11">
        <f>IF(J326="","Assessment Pending",MAX(0,I326-J326))</f>
        <v>0</v>
      </c>
      <c r="L326" s="13" t="s">
        <v>2151</v>
      </c>
      <c r="M326" s="13" t="s">
        <v>951</v>
      </c>
      <c r="N326" s="13" t="s">
        <v>2152</v>
      </c>
      <c r="O326" s="13"/>
    </row>
    <row r="327" spans="1:15" ht="45" customHeight="1">
      <c r="A327" s="14" t="s">
        <v>2479</v>
      </c>
      <c r="B327" s="14" t="s">
        <v>318</v>
      </c>
      <c r="C327" s="14" t="s">
        <v>1690</v>
      </c>
      <c r="D327" s="14" t="s">
        <v>500</v>
      </c>
      <c r="E327" s="14" t="s">
        <v>1692</v>
      </c>
      <c r="F327" s="14" t="s">
        <v>697</v>
      </c>
      <c r="G327" s="14" t="s">
        <v>698</v>
      </c>
      <c r="H327" s="14" t="s">
        <v>565</v>
      </c>
      <c r="I327" s="14">
        <v>3</v>
      </c>
      <c r="J327" s="14">
        <v>3</v>
      </c>
      <c r="K327" s="12">
        <f>IF(J327="","Assessment Pending",MAX(0,I327-J327))</f>
        <v>0</v>
      </c>
      <c r="L327" s="14" t="s">
        <v>2151</v>
      </c>
      <c r="M327" s="14" t="s">
        <v>944</v>
      </c>
      <c r="N327" s="14" t="s">
        <v>2152</v>
      </c>
      <c r="O327" s="14"/>
    </row>
    <row r="328" spans="1:15" ht="45" customHeight="1">
      <c r="A328" s="13" t="s">
        <v>2480</v>
      </c>
      <c r="B328" s="13" t="s">
        <v>318</v>
      </c>
      <c r="C328" s="13" t="s">
        <v>1690</v>
      </c>
      <c r="D328" s="13" t="s">
        <v>500</v>
      </c>
      <c r="E328" s="13" t="s">
        <v>1692</v>
      </c>
      <c r="F328" s="13" t="s">
        <v>704</v>
      </c>
      <c r="G328" s="13" t="s">
        <v>705</v>
      </c>
      <c r="H328" s="13" t="s">
        <v>565</v>
      </c>
      <c r="I328" s="13">
        <v>3</v>
      </c>
      <c r="J328" s="13">
        <v>3</v>
      </c>
      <c r="K328" s="11">
        <f>IF(J328="","Assessment Pending",MAX(0,I328-J328))</f>
        <v>0</v>
      </c>
      <c r="L328" s="13" t="s">
        <v>2151</v>
      </c>
      <c r="M328" s="13" t="s">
        <v>960</v>
      </c>
      <c r="N328" s="13" t="s">
        <v>2152</v>
      </c>
      <c r="O328" s="13"/>
    </row>
    <row r="329" spans="1:15" ht="45" customHeight="1">
      <c r="A329" s="14" t="s">
        <v>2481</v>
      </c>
      <c r="B329" s="14" t="s">
        <v>318</v>
      </c>
      <c r="C329" s="14" t="s">
        <v>1690</v>
      </c>
      <c r="D329" s="14" t="s">
        <v>500</v>
      </c>
      <c r="E329" s="14" t="s">
        <v>1692</v>
      </c>
      <c r="F329" s="14" t="s">
        <v>711</v>
      </c>
      <c r="G329" s="14" t="s">
        <v>712</v>
      </c>
      <c r="H329" s="14" t="s">
        <v>565</v>
      </c>
      <c r="I329" s="14">
        <v>3</v>
      </c>
      <c r="J329" s="14">
        <v>3</v>
      </c>
      <c r="K329" s="12">
        <f>IF(J329="","Assessment Pending",MAX(0,I329-J329))</f>
        <v>0</v>
      </c>
      <c r="L329" s="14" t="s">
        <v>2151</v>
      </c>
      <c r="M329" s="14" t="s">
        <v>934</v>
      </c>
      <c r="N329" s="14" t="s">
        <v>2152</v>
      </c>
      <c r="O329" s="14"/>
    </row>
    <row r="330" spans="1:15" ht="45" customHeight="1">
      <c r="A330" s="13" t="s">
        <v>2482</v>
      </c>
      <c r="B330" s="13" t="s">
        <v>318</v>
      </c>
      <c r="C330" s="13" t="s">
        <v>1690</v>
      </c>
      <c r="D330" s="13" t="s">
        <v>500</v>
      </c>
      <c r="E330" s="13" t="s">
        <v>1692</v>
      </c>
      <c r="F330" s="13" t="s">
        <v>718</v>
      </c>
      <c r="G330" s="13" t="s">
        <v>719</v>
      </c>
      <c r="H330" s="13" t="s">
        <v>565</v>
      </c>
      <c r="I330" s="13">
        <v>3</v>
      </c>
      <c r="J330" s="13">
        <v>2</v>
      </c>
      <c r="K330" s="11">
        <f>IF(J330="","Assessment Pending",MAX(0,I330-J330))</f>
        <v>1</v>
      </c>
      <c r="L330" s="13" t="s">
        <v>2157</v>
      </c>
      <c r="M330" s="13" t="s">
        <v>937</v>
      </c>
      <c r="N330" s="13" t="s">
        <v>2154</v>
      </c>
      <c r="O330" s="13"/>
    </row>
    <row r="331" spans="1:15" ht="45" customHeight="1">
      <c r="A331" s="14" t="s">
        <v>2483</v>
      </c>
      <c r="B331" s="14" t="s">
        <v>318</v>
      </c>
      <c r="C331" s="14" t="s">
        <v>1690</v>
      </c>
      <c r="D331" s="14" t="s">
        <v>500</v>
      </c>
      <c r="E331" s="14" t="s">
        <v>1692</v>
      </c>
      <c r="F331" s="14" t="s">
        <v>725</v>
      </c>
      <c r="G331" s="14" t="s">
        <v>726</v>
      </c>
      <c r="H331" s="14" t="s">
        <v>565</v>
      </c>
      <c r="I331" s="14">
        <v>3</v>
      </c>
      <c r="J331" s="14">
        <v>3</v>
      </c>
      <c r="K331" s="12">
        <f>IF(J331="","Assessment Pending",MAX(0,I331-J331))</f>
        <v>0</v>
      </c>
      <c r="L331" s="14" t="s">
        <v>2151</v>
      </c>
      <c r="M331" s="14" t="s">
        <v>942</v>
      </c>
      <c r="N331" s="14" t="s">
        <v>2152</v>
      </c>
      <c r="O331" s="14"/>
    </row>
    <row r="332" spans="1:15" ht="45" customHeight="1">
      <c r="A332" s="13" t="s">
        <v>2484</v>
      </c>
      <c r="B332" s="13" t="s">
        <v>318</v>
      </c>
      <c r="C332" s="13" t="s">
        <v>1690</v>
      </c>
      <c r="D332" s="13" t="s">
        <v>500</v>
      </c>
      <c r="E332" s="13" t="s">
        <v>1692</v>
      </c>
      <c r="F332" s="13" t="s">
        <v>735</v>
      </c>
      <c r="G332" s="13" t="s">
        <v>736</v>
      </c>
      <c r="H332" s="13" t="s">
        <v>737</v>
      </c>
      <c r="I332" s="13">
        <v>3</v>
      </c>
      <c r="J332" s="13">
        <v>2</v>
      </c>
      <c r="K332" s="11">
        <f>IF(J332="","Assessment Pending",MAX(0,I332-J332))</f>
        <v>1</v>
      </c>
      <c r="L332" s="13" t="s">
        <v>2157</v>
      </c>
      <c r="M332" s="13" t="s">
        <v>946</v>
      </c>
      <c r="N332" s="13" t="s">
        <v>2154</v>
      </c>
      <c r="O332" s="13"/>
    </row>
    <row r="333" spans="1:15" ht="45" customHeight="1">
      <c r="A333" s="14" t="s">
        <v>2485</v>
      </c>
      <c r="B333" s="14" t="s">
        <v>318</v>
      </c>
      <c r="C333" s="14" t="s">
        <v>1690</v>
      </c>
      <c r="D333" s="14" t="s">
        <v>500</v>
      </c>
      <c r="E333" s="14" t="s">
        <v>1692</v>
      </c>
      <c r="F333" s="14" t="s">
        <v>743</v>
      </c>
      <c r="G333" s="14" t="s">
        <v>744</v>
      </c>
      <c r="H333" s="14" t="s">
        <v>737</v>
      </c>
      <c r="I333" s="14">
        <v>3</v>
      </c>
      <c r="J333" s="14">
        <v>2</v>
      </c>
      <c r="K333" s="12">
        <f>IF(J333="","Assessment Pending",MAX(0,I333-J333))</f>
        <v>1</v>
      </c>
      <c r="L333" s="14" t="s">
        <v>2157</v>
      </c>
      <c r="M333" s="14" t="s">
        <v>940</v>
      </c>
      <c r="N333" s="14" t="s">
        <v>2154</v>
      </c>
      <c r="O333" s="14"/>
    </row>
    <row r="334" spans="1:15" ht="45" customHeight="1">
      <c r="A334" s="13" t="s">
        <v>2486</v>
      </c>
      <c r="B334" s="13" t="s">
        <v>318</v>
      </c>
      <c r="C334" s="13" t="s">
        <v>1695</v>
      </c>
      <c r="D334" s="13" t="s">
        <v>500</v>
      </c>
      <c r="E334" s="13" t="s">
        <v>1692</v>
      </c>
      <c r="F334" s="13" t="s">
        <v>678</v>
      </c>
      <c r="G334" s="13" t="s">
        <v>564</v>
      </c>
      <c r="H334" s="13" t="s">
        <v>565</v>
      </c>
      <c r="I334" s="13">
        <v>3</v>
      </c>
      <c r="J334" s="13">
        <v>1</v>
      </c>
      <c r="K334" s="11">
        <f>IF(J334="","Assessment Pending",MAX(0,I334-J334))</f>
        <v>2</v>
      </c>
      <c r="L334" s="13" t="s">
        <v>899</v>
      </c>
      <c r="M334" s="13" t="s">
        <v>948</v>
      </c>
      <c r="N334" s="13" t="s">
        <v>2154</v>
      </c>
      <c r="O334" s="13" t="s">
        <v>2155</v>
      </c>
    </row>
    <row r="335" spans="1:15" ht="45" customHeight="1">
      <c r="A335" s="14" t="s">
        <v>2487</v>
      </c>
      <c r="B335" s="14" t="s">
        <v>318</v>
      </c>
      <c r="C335" s="14" t="s">
        <v>1695</v>
      </c>
      <c r="D335" s="14" t="s">
        <v>500</v>
      </c>
      <c r="E335" s="14" t="s">
        <v>1692</v>
      </c>
      <c r="F335" s="14" t="s">
        <v>683</v>
      </c>
      <c r="G335" s="14" t="s">
        <v>684</v>
      </c>
      <c r="H335" s="14" t="s">
        <v>565</v>
      </c>
      <c r="I335" s="14">
        <v>3</v>
      </c>
      <c r="J335" s="14">
        <v>3</v>
      </c>
      <c r="K335" s="12">
        <f>IF(J335="","Assessment Pending",MAX(0,I335-J335))</f>
        <v>0</v>
      </c>
      <c r="L335" s="14" t="s">
        <v>2151</v>
      </c>
      <c r="M335" s="14" t="s">
        <v>956</v>
      </c>
      <c r="N335" s="14" t="s">
        <v>2152</v>
      </c>
      <c r="O335" s="14"/>
    </row>
    <row r="336" spans="1:15" ht="45" customHeight="1">
      <c r="A336" s="13" t="s">
        <v>2488</v>
      </c>
      <c r="B336" s="13" t="s">
        <v>318</v>
      </c>
      <c r="C336" s="13" t="s">
        <v>1695</v>
      </c>
      <c r="D336" s="13" t="s">
        <v>500</v>
      </c>
      <c r="E336" s="13" t="s">
        <v>1692</v>
      </c>
      <c r="F336" s="13" t="s">
        <v>690</v>
      </c>
      <c r="G336" s="13" t="s">
        <v>691</v>
      </c>
      <c r="H336" s="13" t="s">
        <v>565</v>
      </c>
      <c r="I336" s="13">
        <v>3</v>
      </c>
      <c r="J336" s="13">
        <v>2</v>
      </c>
      <c r="K336" s="11">
        <f>IF(J336="","Assessment Pending",MAX(0,I336-J336))</f>
        <v>1</v>
      </c>
      <c r="L336" s="13" t="s">
        <v>2157</v>
      </c>
      <c r="M336" s="13" t="s">
        <v>951</v>
      </c>
      <c r="N336" s="13" t="s">
        <v>2154</v>
      </c>
      <c r="O336" s="13"/>
    </row>
    <row r="337" spans="1:15" ht="45" customHeight="1">
      <c r="A337" s="14" t="s">
        <v>2489</v>
      </c>
      <c r="B337" s="14" t="s">
        <v>318</v>
      </c>
      <c r="C337" s="14" t="s">
        <v>1695</v>
      </c>
      <c r="D337" s="14" t="s">
        <v>500</v>
      </c>
      <c r="E337" s="14" t="s">
        <v>1692</v>
      </c>
      <c r="F337" s="14" t="s">
        <v>697</v>
      </c>
      <c r="G337" s="14" t="s">
        <v>698</v>
      </c>
      <c r="H337" s="14" t="s">
        <v>565</v>
      </c>
      <c r="I337" s="14">
        <v>3</v>
      </c>
      <c r="J337" s="14">
        <v>2</v>
      </c>
      <c r="K337" s="12">
        <f>IF(J337="","Assessment Pending",MAX(0,I337-J337))</f>
        <v>1</v>
      </c>
      <c r="L337" s="14" t="s">
        <v>2157</v>
      </c>
      <c r="M337" s="14" t="s">
        <v>944</v>
      </c>
      <c r="N337" s="14" t="s">
        <v>2154</v>
      </c>
      <c r="O337" s="14"/>
    </row>
    <row r="338" spans="1:15" ht="45" customHeight="1">
      <c r="A338" s="13" t="s">
        <v>2490</v>
      </c>
      <c r="B338" s="13" t="s">
        <v>318</v>
      </c>
      <c r="C338" s="13" t="s">
        <v>1695</v>
      </c>
      <c r="D338" s="13" t="s">
        <v>500</v>
      </c>
      <c r="E338" s="13" t="s">
        <v>1692</v>
      </c>
      <c r="F338" s="13" t="s">
        <v>704</v>
      </c>
      <c r="G338" s="13" t="s">
        <v>705</v>
      </c>
      <c r="H338" s="13" t="s">
        <v>565</v>
      </c>
      <c r="I338" s="13">
        <v>3</v>
      </c>
      <c r="J338" s="13">
        <v>2</v>
      </c>
      <c r="K338" s="11">
        <f>IF(J338="","Assessment Pending",MAX(0,I338-J338))</f>
        <v>1</v>
      </c>
      <c r="L338" s="13" t="s">
        <v>2157</v>
      </c>
      <c r="M338" s="13" t="s">
        <v>960</v>
      </c>
      <c r="N338" s="13" t="s">
        <v>2154</v>
      </c>
      <c r="O338" s="13"/>
    </row>
    <row r="339" spans="1:15" ht="45" customHeight="1">
      <c r="A339" s="14" t="s">
        <v>2491</v>
      </c>
      <c r="B339" s="14" t="s">
        <v>318</v>
      </c>
      <c r="C339" s="14" t="s">
        <v>1695</v>
      </c>
      <c r="D339" s="14" t="s">
        <v>500</v>
      </c>
      <c r="E339" s="14" t="s">
        <v>1692</v>
      </c>
      <c r="F339" s="14" t="s">
        <v>711</v>
      </c>
      <c r="G339" s="14" t="s">
        <v>712</v>
      </c>
      <c r="H339" s="14" t="s">
        <v>565</v>
      </c>
      <c r="I339" s="14">
        <v>3</v>
      </c>
      <c r="J339" s="14">
        <v>2</v>
      </c>
      <c r="K339" s="12">
        <f>IF(J339="","Assessment Pending",MAX(0,I339-J339))</f>
        <v>1</v>
      </c>
      <c r="L339" s="14" t="s">
        <v>2157</v>
      </c>
      <c r="M339" s="14" t="s">
        <v>934</v>
      </c>
      <c r="N339" s="14" t="s">
        <v>2154</v>
      </c>
      <c r="O339" s="14"/>
    </row>
    <row r="340" spans="1:15" ht="45" customHeight="1">
      <c r="A340" s="13" t="s">
        <v>2492</v>
      </c>
      <c r="B340" s="13" t="s">
        <v>318</v>
      </c>
      <c r="C340" s="13" t="s">
        <v>1695</v>
      </c>
      <c r="D340" s="13" t="s">
        <v>500</v>
      </c>
      <c r="E340" s="13" t="s">
        <v>1692</v>
      </c>
      <c r="F340" s="13" t="s">
        <v>718</v>
      </c>
      <c r="G340" s="13" t="s">
        <v>719</v>
      </c>
      <c r="H340" s="13" t="s">
        <v>565</v>
      </c>
      <c r="I340" s="13">
        <v>3</v>
      </c>
      <c r="J340" s="13">
        <v>1</v>
      </c>
      <c r="K340" s="11">
        <f>IF(J340="","Assessment Pending",MAX(0,I340-J340))</f>
        <v>2</v>
      </c>
      <c r="L340" s="13" t="s">
        <v>899</v>
      </c>
      <c r="M340" s="13" t="s">
        <v>937</v>
      </c>
      <c r="N340" s="13" t="s">
        <v>2154</v>
      </c>
      <c r="O340" s="13"/>
    </row>
    <row r="341" spans="1:15" ht="45" customHeight="1">
      <c r="A341" s="14" t="s">
        <v>2493</v>
      </c>
      <c r="B341" s="14" t="s">
        <v>318</v>
      </c>
      <c r="C341" s="14" t="s">
        <v>1695</v>
      </c>
      <c r="D341" s="14" t="s">
        <v>500</v>
      </c>
      <c r="E341" s="14" t="s">
        <v>1692</v>
      </c>
      <c r="F341" s="14" t="s">
        <v>725</v>
      </c>
      <c r="G341" s="14" t="s">
        <v>726</v>
      </c>
      <c r="H341" s="14" t="s">
        <v>565</v>
      </c>
      <c r="I341" s="14">
        <v>3</v>
      </c>
      <c r="J341" s="14">
        <v>3</v>
      </c>
      <c r="K341" s="12">
        <f>IF(J341="","Assessment Pending",MAX(0,I341-J341))</f>
        <v>0</v>
      </c>
      <c r="L341" s="14" t="s">
        <v>2151</v>
      </c>
      <c r="M341" s="14" t="s">
        <v>942</v>
      </c>
      <c r="N341" s="14" t="s">
        <v>2152</v>
      </c>
      <c r="O341" s="14"/>
    </row>
    <row r="342" spans="1:15" ht="45" customHeight="1">
      <c r="A342" s="13" t="s">
        <v>2494</v>
      </c>
      <c r="B342" s="13" t="s">
        <v>318</v>
      </c>
      <c r="C342" s="13" t="s">
        <v>1695</v>
      </c>
      <c r="D342" s="13" t="s">
        <v>500</v>
      </c>
      <c r="E342" s="13" t="s">
        <v>1692</v>
      </c>
      <c r="F342" s="13" t="s">
        <v>735</v>
      </c>
      <c r="G342" s="13" t="s">
        <v>736</v>
      </c>
      <c r="H342" s="13" t="s">
        <v>737</v>
      </c>
      <c r="I342" s="13">
        <v>3</v>
      </c>
      <c r="J342" s="13">
        <v>2</v>
      </c>
      <c r="K342" s="11">
        <f>IF(J342="","Assessment Pending",MAX(0,I342-J342))</f>
        <v>1</v>
      </c>
      <c r="L342" s="13" t="s">
        <v>2157</v>
      </c>
      <c r="M342" s="13" t="s">
        <v>946</v>
      </c>
      <c r="N342" s="13" t="s">
        <v>2154</v>
      </c>
      <c r="O342" s="13"/>
    </row>
    <row r="343" spans="1:15" ht="45" customHeight="1">
      <c r="A343" s="14" t="s">
        <v>2495</v>
      </c>
      <c r="B343" s="14" t="s">
        <v>318</v>
      </c>
      <c r="C343" s="14" t="s">
        <v>1695</v>
      </c>
      <c r="D343" s="14" t="s">
        <v>500</v>
      </c>
      <c r="E343" s="14" t="s">
        <v>1692</v>
      </c>
      <c r="F343" s="14" t="s">
        <v>743</v>
      </c>
      <c r="G343" s="14" t="s">
        <v>744</v>
      </c>
      <c r="H343" s="14" t="s">
        <v>737</v>
      </c>
      <c r="I343" s="14">
        <v>3</v>
      </c>
      <c r="J343" s="14">
        <v>3</v>
      </c>
      <c r="K343" s="12">
        <f>IF(J343="","Assessment Pending",MAX(0,I343-J343))</f>
        <v>0</v>
      </c>
      <c r="L343" s="14" t="s">
        <v>2151</v>
      </c>
      <c r="M343" s="14" t="s">
        <v>940</v>
      </c>
      <c r="N343" s="14" t="s">
        <v>2152</v>
      </c>
      <c r="O343" s="14"/>
    </row>
    <row r="344" spans="1:15" ht="45" customHeight="1">
      <c r="A344" s="13" t="s">
        <v>2496</v>
      </c>
      <c r="B344" s="13" t="s">
        <v>318</v>
      </c>
      <c r="C344" s="13" t="s">
        <v>1697</v>
      </c>
      <c r="D344" s="13" t="s">
        <v>500</v>
      </c>
      <c r="E344" s="13" t="s">
        <v>1692</v>
      </c>
      <c r="F344" s="13" t="s">
        <v>678</v>
      </c>
      <c r="G344" s="13" t="s">
        <v>564</v>
      </c>
      <c r="H344" s="13" t="s">
        <v>565</v>
      </c>
      <c r="I344" s="13">
        <v>3</v>
      </c>
      <c r="J344" s="13">
        <v>3</v>
      </c>
      <c r="K344" s="11">
        <f>IF(J344="","Assessment Pending",MAX(0,I344-J344))</f>
        <v>0</v>
      </c>
      <c r="L344" s="13" t="s">
        <v>2151</v>
      </c>
      <c r="M344" s="13" t="s">
        <v>948</v>
      </c>
      <c r="N344" s="13" t="s">
        <v>2152</v>
      </c>
      <c r="O344" s="13" t="s">
        <v>2155</v>
      </c>
    </row>
    <row r="345" spans="1:15" ht="45" customHeight="1">
      <c r="A345" s="14" t="s">
        <v>2497</v>
      </c>
      <c r="B345" s="14" t="s">
        <v>318</v>
      </c>
      <c r="C345" s="14" t="s">
        <v>1697</v>
      </c>
      <c r="D345" s="14" t="s">
        <v>500</v>
      </c>
      <c r="E345" s="14" t="s">
        <v>1692</v>
      </c>
      <c r="F345" s="14" t="s">
        <v>683</v>
      </c>
      <c r="G345" s="14" t="s">
        <v>684</v>
      </c>
      <c r="H345" s="14" t="s">
        <v>565</v>
      </c>
      <c r="I345" s="14">
        <v>3</v>
      </c>
      <c r="J345" s="14">
        <v>2</v>
      </c>
      <c r="K345" s="12">
        <f>IF(J345="","Assessment Pending",MAX(0,I345-J345))</f>
        <v>1</v>
      </c>
      <c r="L345" s="14" t="s">
        <v>2157</v>
      </c>
      <c r="M345" s="14" t="s">
        <v>956</v>
      </c>
      <c r="N345" s="14" t="s">
        <v>2154</v>
      </c>
      <c r="O345" s="14"/>
    </row>
    <row r="346" spans="1:15" ht="45" customHeight="1">
      <c r="A346" s="13" t="s">
        <v>2498</v>
      </c>
      <c r="B346" s="13" t="s">
        <v>318</v>
      </c>
      <c r="C346" s="13" t="s">
        <v>1697</v>
      </c>
      <c r="D346" s="13" t="s">
        <v>500</v>
      </c>
      <c r="E346" s="13" t="s">
        <v>1692</v>
      </c>
      <c r="F346" s="13" t="s">
        <v>690</v>
      </c>
      <c r="G346" s="13" t="s">
        <v>691</v>
      </c>
      <c r="H346" s="13" t="s">
        <v>565</v>
      </c>
      <c r="I346" s="13">
        <v>3</v>
      </c>
      <c r="J346" s="13">
        <v>3</v>
      </c>
      <c r="K346" s="11">
        <f>IF(J346="","Assessment Pending",MAX(0,I346-J346))</f>
        <v>0</v>
      </c>
      <c r="L346" s="13" t="s">
        <v>2151</v>
      </c>
      <c r="M346" s="13" t="s">
        <v>951</v>
      </c>
      <c r="N346" s="13" t="s">
        <v>2152</v>
      </c>
      <c r="O346" s="13"/>
    </row>
    <row r="347" spans="1:15" ht="45" customHeight="1">
      <c r="A347" s="14" t="s">
        <v>2499</v>
      </c>
      <c r="B347" s="14" t="s">
        <v>318</v>
      </c>
      <c r="C347" s="14" t="s">
        <v>1697</v>
      </c>
      <c r="D347" s="14" t="s">
        <v>500</v>
      </c>
      <c r="E347" s="14" t="s">
        <v>1692</v>
      </c>
      <c r="F347" s="14" t="s">
        <v>697</v>
      </c>
      <c r="G347" s="14" t="s">
        <v>698</v>
      </c>
      <c r="H347" s="14" t="s">
        <v>565</v>
      </c>
      <c r="I347" s="14">
        <v>3</v>
      </c>
      <c r="J347" s="14">
        <v>3</v>
      </c>
      <c r="K347" s="12">
        <f>IF(J347="","Assessment Pending",MAX(0,I347-J347))</f>
        <v>0</v>
      </c>
      <c r="L347" s="14" t="s">
        <v>2151</v>
      </c>
      <c r="M347" s="14" t="s">
        <v>944</v>
      </c>
      <c r="N347" s="14" t="s">
        <v>2152</v>
      </c>
      <c r="O347" s="14"/>
    </row>
    <row r="348" spans="1:15" ht="45" customHeight="1">
      <c r="A348" s="13" t="s">
        <v>2500</v>
      </c>
      <c r="B348" s="13" t="s">
        <v>318</v>
      </c>
      <c r="C348" s="13" t="s">
        <v>1697</v>
      </c>
      <c r="D348" s="13" t="s">
        <v>500</v>
      </c>
      <c r="E348" s="13" t="s">
        <v>1692</v>
      </c>
      <c r="F348" s="13" t="s">
        <v>704</v>
      </c>
      <c r="G348" s="13" t="s">
        <v>705</v>
      </c>
      <c r="H348" s="13" t="s">
        <v>565</v>
      </c>
      <c r="I348" s="13">
        <v>3</v>
      </c>
      <c r="J348" s="13">
        <v>3</v>
      </c>
      <c r="K348" s="11">
        <f>IF(J348="","Assessment Pending",MAX(0,I348-J348))</f>
        <v>0</v>
      </c>
      <c r="L348" s="13" t="s">
        <v>2151</v>
      </c>
      <c r="M348" s="13" t="s">
        <v>960</v>
      </c>
      <c r="N348" s="13" t="s">
        <v>2152</v>
      </c>
      <c r="O348" s="13"/>
    </row>
    <row r="349" spans="1:15" ht="45" customHeight="1">
      <c r="A349" s="14" t="s">
        <v>2501</v>
      </c>
      <c r="B349" s="14" t="s">
        <v>318</v>
      </c>
      <c r="C349" s="14" t="s">
        <v>1697</v>
      </c>
      <c r="D349" s="14" t="s">
        <v>500</v>
      </c>
      <c r="E349" s="14" t="s">
        <v>1692</v>
      </c>
      <c r="F349" s="14" t="s">
        <v>711</v>
      </c>
      <c r="G349" s="14" t="s">
        <v>712</v>
      </c>
      <c r="H349" s="14" t="s">
        <v>565</v>
      </c>
      <c r="I349" s="14">
        <v>3</v>
      </c>
      <c r="J349" s="14">
        <v>3</v>
      </c>
      <c r="K349" s="12">
        <f>IF(J349="","Assessment Pending",MAX(0,I349-J349))</f>
        <v>0</v>
      </c>
      <c r="L349" s="14" t="s">
        <v>2151</v>
      </c>
      <c r="M349" s="14" t="s">
        <v>934</v>
      </c>
      <c r="N349" s="14" t="s">
        <v>2152</v>
      </c>
      <c r="O349" s="14"/>
    </row>
    <row r="350" spans="1:15" ht="45" customHeight="1">
      <c r="A350" s="13" t="s">
        <v>2502</v>
      </c>
      <c r="B350" s="13" t="s">
        <v>318</v>
      </c>
      <c r="C350" s="13" t="s">
        <v>1697</v>
      </c>
      <c r="D350" s="13" t="s">
        <v>500</v>
      </c>
      <c r="E350" s="13" t="s">
        <v>1692</v>
      </c>
      <c r="F350" s="13" t="s">
        <v>718</v>
      </c>
      <c r="G350" s="13" t="s">
        <v>719</v>
      </c>
      <c r="H350" s="13" t="s">
        <v>565</v>
      </c>
      <c r="I350" s="13">
        <v>3</v>
      </c>
      <c r="J350" s="13">
        <v>2</v>
      </c>
      <c r="K350" s="11">
        <f>IF(J350="","Assessment Pending",MAX(0,I350-J350))</f>
        <v>1</v>
      </c>
      <c r="L350" s="13" t="s">
        <v>2157</v>
      </c>
      <c r="M350" s="13" t="s">
        <v>937</v>
      </c>
      <c r="N350" s="13" t="s">
        <v>2154</v>
      </c>
      <c r="O350" s="13"/>
    </row>
    <row r="351" spans="1:15" ht="45" customHeight="1">
      <c r="A351" s="14" t="s">
        <v>2503</v>
      </c>
      <c r="B351" s="14" t="s">
        <v>318</v>
      </c>
      <c r="C351" s="14" t="s">
        <v>1697</v>
      </c>
      <c r="D351" s="14" t="s">
        <v>500</v>
      </c>
      <c r="E351" s="14" t="s">
        <v>1692</v>
      </c>
      <c r="F351" s="14" t="s">
        <v>725</v>
      </c>
      <c r="G351" s="14" t="s">
        <v>726</v>
      </c>
      <c r="H351" s="14" t="s">
        <v>565</v>
      </c>
      <c r="I351" s="14">
        <v>3</v>
      </c>
      <c r="J351" s="14">
        <v>2</v>
      </c>
      <c r="K351" s="12">
        <f>IF(J351="","Assessment Pending",MAX(0,I351-J351))</f>
        <v>1</v>
      </c>
      <c r="L351" s="14" t="s">
        <v>2157</v>
      </c>
      <c r="M351" s="14" t="s">
        <v>942</v>
      </c>
      <c r="N351" s="14" t="s">
        <v>2154</v>
      </c>
      <c r="O351" s="14"/>
    </row>
    <row r="352" spans="1:15" ht="45" customHeight="1">
      <c r="A352" s="13" t="s">
        <v>2504</v>
      </c>
      <c r="B352" s="13" t="s">
        <v>318</v>
      </c>
      <c r="C352" s="13" t="s">
        <v>1697</v>
      </c>
      <c r="D352" s="13" t="s">
        <v>500</v>
      </c>
      <c r="E352" s="13" t="s">
        <v>1692</v>
      </c>
      <c r="F352" s="13" t="s">
        <v>735</v>
      </c>
      <c r="G352" s="13" t="s">
        <v>736</v>
      </c>
      <c r="H352" s="13" t="s">
        <v>737</v>
      </c>
      <c r="I352" s="13">
        <v>3</v>
      </c>
      <c r="J352" s="13">
        <v>3</v>
      </c>
      <c r="K352" s="11">
        <f>IF(J352="","Assessment Pending",MAX(0,I352-J352))</f>
        <v>0</v>
      </c>
      <c r="L352" s="13" t="s">
        <v>2151</v>
      </c>
      <c r="M352" s="13" t="s">
        <v>946</v>
      </c>
      <c r="N352" s="13" t="s">
        <v>2152</v>
      </c>
      <c r="O352" s="13"/>
    </row>
    <row r="353" spans="1:15" ht="45" customHeight="1">
      <c r="A353" s="14" t="s">
        <v>2505</v>
      </c>
      <c r="B353" s="14" t="s">
        <v>318</v>
      </c>
      <c r="C353" s="14" t="s">
        <v>1697</v>
      </c>
      <c r="D353" s="14" t="s">
        <v>500</v>
      </c>
      <c r="E353" s="14" t="s">
        <v>1692</v>
      </c>
      <c r="F353" s="14" t="s">
        <v>743</v>
      </c>
      <c r="G353" s="14" t="s">
        <v>744</v>
      </c>
      <c r="H353" s="14" t="s">
        <v>737</v>
      </c>
      <c r="I353" s="14">
        <v>3</v>
      </c>
      <c r="J353" s="14">
        <v>3</v>
      </c>
      <c r="K353" s="12">
        <f>IF(J353="","Assessment Pending",MAX(0,I353-J353))</f>
        <v>0</v>
      </c>
      <c r="L353" s="14" t="s">
        <v>2151</v>
      </c>
      <c r="M353" s="14" t="s">
        <v>940</v>
      </c>
      <c r="N353" s="14" t="s">
        <v>2152</v>
      </c>
      <c r="O353" s="14"/>
    </row>
    <row r="354" spans="1:15" ht="45" customHeight="1">
      <c r="A354" s="13" t="s">
        <v>2506</v>
      </c>
      <c r="B354" s="13" t="s">
        <v>318</v>
      </c>
      <c r="C354" s="13" t="s">
        <v>1699</v>
      </c>
      <c r="D354" s="13" t="s">
        <v>500</v>
      </c>
      <c r="E354" s="13" t="s">
        <v>1692</v>
      </c>
      <c r="F354" s="13" t="s">
        <v>678</v>
      </c>
      <c r="G354" s="13" t="s">
        <v>564</v>
      </c>
      <c r="H354" s="13" t="s">
        <v>565</v>
      </c>
      <c r="I354" s="13">
        <v>3</v>
      </c>
      <c r="J354" s="13">
        <v>3</v>
      </c>
      <c r="K354" s="11">
        <f>IF(J354="","Assessment Pending",MAX(0,I354-J354))</f>
        <v>0</v>
      </c>
      <c r="L354" s="13" t="s">
        <v>2151</v>
      </c>
      <c r="M354" s="13" t="s">
        <v>948</v>
      </c>
      <c r="N354" s="13" t="s">
        <v>2152</v>
      </c>
      <c r="O354" s="13" t="s">
        <v>2155</v>
      </c>
    </row>
    <row r="355" spans="1:15" ht="45" customHeight="1">
      <c r="A355" s="14" t="s">
        <v>2507</v>
      </c>
      <c r="B355" s="14" t="s">
        <v>318</v>
      </c>
      <c r="C355" s="14" t="s">
        <v>1699</v>
      </c>
      <c r="D355" s="14" t="s">
        <v>500</v>
      </c>
      <c r="E355" s="14" t="s">
        <v>1692</v>
      </c>
      <c r="F355" s="14" t="s">
        <v>683</v>
      </c>
      <c r="G355" s="14" t="s">
        <v>684</v>
      </c>
      <c r="H355" s="14" t="s">
        <v>565</v>
      </c>
      <c r="I355" s="14">
        <v>3</v>
      </c>
      <c r="J355" s="14">
        <v>3</v>
      </c>
      <c r="K355" s="12">
        <f>IF(J355="","Assessment Pending",MAX(0,I355-J355))</f>
        <v>0</v>
      </c>
      <c r="L355" s="14" t="s">
        <v>2151</v>
      </c>
      <c r="M355" s="14" t="s">
        <v>956</v>
      </c>
      <c r="N355" s="14" t="s">
        <v>2152</v>
      </c>
      <c r="O355" s="14"/>
    </row>
    <row r="356" spans="1:15" ht="45" customHeight="1">
      <c r="A356" s="13" t="s">
        <v>2508</v>
      </c>
      <c r="B356" s="13" t="s">
        <v>318</v>
      </c>
      <c r="C356" s="13" t="s">
        <v>1699</v>
      </c>
      <c r="D356" s="13" t="s">
        <v>500</v>
      </c>
      <c r="E356" s="13" t="s">
        <v>1692</v>
      </c>
      <c r="F356" s="13" t="s">
        <v>690</v>
      </c>
      <c r="G356" s="13" t="s">
        <v>691</v>
      </c>
      <c r="H356" s="13" t="s">
        <v>565</v>
      </c>
      <c r="I356" s="13">
        <v>3</v>
      </c>
      <c r="J356" s="13">
        <v>2</v>
      </c>
      <c r="K356" s="11">
        <f>IF(J356="","Assessment Pending",MAX(0,I356-J356))</f>
        <v>1</v>
      </c>
      <c r="L356" s="13" t="s">
        <v>2157</v>
      </c>
      <c r="M356" s="13" t="s">
        <v>951</v>
      </c>
      <c r="N356" s="13" t="s">
        <v>2154</v>
      </c>
      <c r="O356" s="13"/>
    </row>
    <row r="357" spans="1:15" ht="45" customHeight="1">
      <c r="A357" s="14" t="s">
        <v>2509</v>
      </c>
      <c r="B357" s="14" t="s">
        <v>318</v>
      </c>
      <c r="C357" s="14" t="s">
        <v>1699</v>
      </c>
      <c r="D357" s="14" t="s">
        <v>500</v>
      </c>
      <c r="E357" s="14" t="s">
        <v>1692</v>
      </c>
      <c r="F357" s="14" t="s">
        <v>697</v>
      </c>
      <c r="G357" s="14" t="s">
        <v>698</v>
      </c>
      <c r="H357" s="14" t="s">
        <v>565</v>
      </c>
      <c r="I357" s="14">
        <v>3</v>
      </c>
      <c r="J357" s="14">
        <v>3</v>
      </c>
      <c r="K357" s="12">
        <f>IF(J357="","Assessment Pending",MAX(0,I357-J357))</f>
        <v>0</v>
      </c>
      <c r="L357" s="14" t="s">
        <v>2151</v>
      </c>
      <c r="M357" s="14" t="s">
        <v>944</v>
      </c>
      <c r="N357" s="14" t="s">
        <v>2152</v>
      </c>
      <c r="O357" s="14"/>
    </row>
    <row r="358" spans="1:15" ht="45" customHeight="1">
      <c r="A358" s="13" t="s">
        <v>2510</v>
      </c>
      <c r="B358" s="13" t="s">
        <v>318</v>
      </c>
      <c r="C358" s="13" t="s">
        <v>1699</v>
      </c>
      <c r="D358" s="13" t="s">
        <v>500</v>
      </c>
      <c r="E358" s="13" t="s">
        <v>1692</v>
      </c>
      <c r="F358" s="13" t="s">
        <v>704</v>
      </c>
      <c r="G358" s="13" t="s">
        <v>705</v>
      </c>
      <c r="H358" s="13" t="s">
        <v>565</v>
      </c>
      <c r="I358" s="13">
        <v>3</v>
      </c>
      <c r="J358" s="13">
        <v>2</v>
      </c>
      <c r="K358" s="11">
        <f>IF(J358="","Assessment Pending",MAX(0,I358-J358))</f>
        <v>1</v>
      </c>
      <c r="L358" s="13" t="s">
        <v>2157</v>
      </c>
      <c r="M358" s="13" t="s">
        <v>960</v>
      </c>
      <c r="N358" s="13" t="s">
        <v>2154</v>
      </c>
      <c r="O358" s="13"/>
    </row>
    <row r="359" spans="1:15" ht="45" customHeight="1">
      <c r="A359" s="14" t="s">
        <v>2511</v>
      </c>
      <c r="B359" s="14" t="s">
        <v>318</v>
      </c>
      <c r="C359" s="14" t="s">
        <v>1699</v>
      </c>
      <c r="D359" s="14" t="s">
        <v>500</v>
      </c>
      <c r="E359" s="14" t="s">
        <v>1692</v>
      </c>
      <c r="F359" s="14" t="s">
        <v>711</v>
      </c>
      <c r="G359" s="14" t="s">
        <v>712</v>
      </c>
      <c r="H359" s="14" t="s">
        <v>565</v>
      </c>
      <c r="I359" s="14">
        <v>3</v>
      </c>
      <c r="J359" s="14">
        <v>3</v>
      </c>
      <c r="K359" s="12">
        <f>IF(J359="","Assessment Pending",MAX(0,I359-J359))</f>
        <v>0</v>
      </c>
      <c r="L359" s="14" t="s">
        <v>2151</v>
      </c>
      <c r="M359" s="14" t="s">
        <v>934</v>
      </c>
      <c r="N359" s="14" t="s">
        <v>2152</v>
      </c>
      <c r="O359" s="14"/>
    </row>
    <row r="360" spans="1:15" ht="45" customHeight="1">
      <c r="A360" s="13" t="s">
        <v>2512</v>
      </c>
      <c r="B360" s="13" t="s">
        <v>318</v>
      </c>
      <c r="C360" s="13" t="s">
        <v>1699</v>
      </c>
      <c r="D360" s="13" t="s">
        <v>500</v>
      </c>
      <c r="E360" s="13" t="s">
        <v>1692</v>
      </c>
      <c r="F360" s="13" t="s">
        <v>718</v>
      </c>
      <c r="G360" s="13" t="s">
        <v>719</v>
      </c>
      <c r="H360" s="13" t="s">
        <v>565</v>
      </c>
      <c r="I360" s="13">
        <v>3</v>
      </c>
      <c r="J360" s="13">
        <v>3</v>
      </c>
      <c r="K360" s="11">
        <f>IF(J360="","Assessment Pending",MAX(0,I360-J360))</f>
        <v>0</v>
      </c>
      <c r="L360" s="13" t="s">
        <v>2151</v>
      </c>
      <c r="M360" s="13" t="s">
        <v>937</v>
      </c>
      <c r="N360" s="13" t="s">
        <v>2152</v>
      </c>
      <c r="O360" s="13"/>
    </row>
    <row r="361" spans="1:15" ht="45" customHeight="1">
      <c r="A361" s="14" t="s">
        <v>2513</v>
      </c>
      <c r="B361" s="14" t="s">
        <v>318</v>
      </c>
      <c r="C361" s="14" t="s">
        <v>1699</v>
      </c>
      <c r="D361" s="14" t="s">
        <v>500</v>
      </c>
      <c r="E361" s="14" t="s">
        <v>1692</v>
      </c>
      <c r="F361" s="14" t="s">
        <v>725</v>
      </c>
      <c r="G361" s="14" t="s">
        <v>726</v>
      </c>
      <c r="H361" s="14" t="s">
        <v>565</v>
      </c>
      <c r="I361" s="14">
        <v>3</v>
      </c>
      <c r="J361" s="14">
        <v>3</v>
      </c>
      <c r="K361" s="12">
        <f>IF(J361="","Assessment Pending",MAX(0,I361-J361))</f>
        <v>0</v>
      </c>
      <c r="L361" s="14" t="s">
        <v>2151</v>
      </c>
      <c r="M361" s="14" t="s">
        <v>942</v>
      </c>
      <c r="N361" s="14" t="s">
        <v>2152</v>
      </c>
      <c r="O361" s="14"/>
    </row>
    <row r="362" spans="1:15" ht="45" customHeight="1">
      <c r="A362" s="13" t="s">
        <v>2514</v>
      </c>
      <c r="B362" s="13" t="s">
        <v>318</v>
      </c>
      <c r="C362" s="13" t="s">
        <v>1699</v>
      </c>
      <c r="D362" s="13" t="s">
        <v>500</v>
      </c>
      <c r="E362" s="13" t="s">
        <v>1692</v>
      </c>
      <c r="F362" s="13" t="s">
        <v>735</v>
      </c>
      <c r="G362" s="13" t="s">
        <v>736</v>
      </c>
      <c r="H362" s="13" t="s">
        <v>737</v>
      </c>
      <c r="I362" s="13">
        <v>3</v>
      </c>
      <c r="J362" s="13">
        <v>3</v>
      </c>
      <c r="K362" s="11">
        <f>IF(J362="","Assessment Pending",MAX(0,I362-J362))</f>
        <v>0</v>
      </c>
      <c r="L362" s="13" t="s">
        <v>2151</v>
      </c>
      <c r="M362" s="13" t="s">
        <v>946</v>
      </c>
      <c r="N362" s="13" t="s">
        <v>2152</v>
      </c>
      <c r="O362" s="13"/>
    </row>
    <row r="363" spans="1:15" ht="45" customHeight="1">
      <c r="A363" s="14" t="s">
        <v>2515</v>
      </c>
      <c r="B363" s="14" t="s">
        <v>318</v>
      </c>
      <c r="C363" s="14" t="s">
        <v>1699</v>
      </c>
      <c r="D363" s="14" t="s">
        <v>500</v>
      </c>
      <c r="E363" s="14" t="s">
        <v>1692</v>
      </c>
      <c r="F363" s="14" t="s">
        <v>743</v>
      </c>
      <c r="G363" s="14" t="s">
        <v>744</v>
      </c>
      <c r="H363" s="14" t="s">
        <v>737</v>
      </c>
      <c r="I363" s="14">
        <v>3</v>
      </c>
      <c r="J363" s="14">
        <v>3</v>
      </c>
      <c r="K363" s="12">
        <f>IF(J363="","Assessment Pending",MAX(0,I363-J363))</f>
        <v>0</v>
      </c>
      <c r="L363" s="14" t="s">
        <v>2151</v>
      </c>
      <c r="M363" s="14" t="s">
        <v>940</v>
      </c>
      <c r="N363" s="14" t="s">
        <v>2152</v>
      </c>
      <c r="O363" s="14"/>
    </row>
  </sheetData>
  <autoFilter ref="A3:O363" xr:uid="{00000000-0009-0000-0000-000013000000}"/>
  <mergeCells count="1">
    <mergeCell ref="A1:L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63"/>
  <sheetViews>
    <sheetView showGridLines="0" workbookViewId="0">
      <pane ySplit="3" topLeftCell="A4" activePane="bottomLeft" state="frozen"/>
      <selection pane="bottomLeft"/>
    </sheetView>
  </sheetViews>
  <sheetFormatPr defaultRowHeight="15"/>
  <cols>
    <col min="1" max="1" width="24" customWidth="1"/>
    <col min="2" max="2" width="30" customWidth="1"/>
    <col min="3" max="3" width="12" customWidth="1"/>
    <col min="4" max="5" width="45" customWidth="1"/>
    <col min="6" max="6" width="16" customWidth="1"/>
    <col min="7" max="7" width="15" customWidth="1"/>
    <col min="8" max="8" width="24" customWidth="1"/>
    <col min="9" max="9" width="15" customWidth="1"/>
    <col min="10" max="11" width="37" customWidth="1"/>
  </cols>
  <sheetData>
    <row r="1" spans="1:11" ht="26.1" customHeight="1">
      <c r="A1" s="16" t="s">
        <v>2516</v>
      </c>
      <c r="B1" s="17"/>
      <c r="C1" s="17"/>
      <c r="D1" s="17"/>
      <c r="E1" s="17"/>
      <c r="F1" s="17"/>
      <c r="G1" s="17"/>
      <c r="H1" s="17"/>
      <c r="I1" s="17"/>
      <c r="J1" s="17"/>
      <c r="K1" s="17"/>
    </row>
    <row r="3" spans="1:11">
      <c r="A3" s="2" t="s">
        <v>386</v>
      </c>
      <c r="B3" s="2" t="s">
        <v>62</v>
      </c>
      <c r="C3" s="2" t="s">
        <v>316</v>
      </c>
      <c r="D3" s="2" t="s">
        <v>151</v>
      </c>
      <c r="E3" s="2" t="s">
        <v>184</v>
      </c>
      <c r="F3" s="2" t="s">
        <v>388</v>
      </c>
      <c r="G3" s="2" t="s">
        <v>374</v>
      </c>
      <c r="H3" s="2" t="s">
        <v>390</v>
      </c>
      <c r="I3" s="2" t="s">
        <v>392</v>
      </c>
      <c r="J3" s="2" t="s">
        <v>394</v>
      </c>
      <c r="K3" s="2" t="s">
        <v>396</v>
      </c>
    </row>
    <row r="4" spans="1:11" ht="45" customHeight="1">
      <c r="A4" s="13" t="s">
        <v>2517</v>
      </c>
      <c r="B4" s="13" t="s">
        <v>318</v>
      </c>
      <c r="C4" s="13" t="s">
        <v>1596</v>
      </c>
      <c r="D4" s="13" t="s">
        <v>463</v>
      </c>
      <c r="E4" s="13" t="s">
        <v>833</v>
      </c>
      <c r="F4" s="13">
        <v>2</v>
      </c>
      <c r="G4" s="13">
        <v>3</v>
      </c>
      <c r="H4" s="11">
        <f>G4-F4</f>
        <v>1</v>
      </c>
      <c r="I4" s="13" t="s">
        <v>2518</v>
      </c>
      <c r="J4" s="13" t="s">
        <v>2519</v>
      </c>
      <c r="K4" s="13" t="s">
        <v>2520</v>
      </c>
    </row>
    <row r="5" spans="1:11" ht="45" customHeight="1">
      <c r="A5" s="14" t="s">
        <v>2521</v>
      </c>
      <c r="B5" s="14" t="s">
        <v>318</v>
      </c>
      <c r="C5" s="14" t="s">
        <v>1596</v>
      </c>
      <c r="D5" s="14" t="s">
        <v>463</v>
      </c>
      <c r="E5" s="14" t="s">
        <v>836</v>
      </c>
      <c r="F5" s="14">
        <v>1</v>
      </c>
      <c r="G5" s="14">
        <v>1</v>
      </c>
      <c r="H5" s="12">
        <f>G5-F5</f>
        <v>0</v>
      </c>
      <c r="I5" s="14" t="s">
        <v>2518</v>
      </c>
      <c r="J5" s="14" t="s">
        <v>2519</v>
      </c>
      <c r="K5" s="14" t="s">
        <v>2520</v>
      </c>
    </row>
    <row r="6" spans="1:11" ht="45" customHeight="1">
      <c r="A6" s="13" t="s">
        <v>2522</v>
      </c>
      <c r="B6" s="13" t="s">
        <v>318</v>
      </c>
      <c r="C6" s="13" t="s">
        <v>1596</v>
      </c>
      <c r="D6" s="13" t="s">
        <v>463</v>
      </c>
      <c r="E6" s="13" t="s">
        <v>839</v>
      </c>
      <c r="F6" s="13">
        <v>1</v>
      </c>
      <c r="G6" s="13">
        <v>2</v>
      </c>
      <c r="H6" s="11">
        <f>G6-F6</f>
        <v>1</v>
      </c>
      <c r="I6" s="13" t="s">
        <v>2518</v>
      </c>
      <c r="J6" s="13" t="s">
        <v>2519</v>
      </c>
      <c r="K6" s="13" t="s">
        <v>2520</v>
      </c>
    </row>
    <row r="7" spans="1:11" ht="45" customHeight="1">
      <c r="A7" s="14" t="s">
        <v>2523</v>
      </c>
      <c r="B7" s="14" t="s">
        <v>318</v>
      </c>
      <c r="C7" s="14" t="s">
        <v>1596</v>
      </c>
      <c r="D7" s="14" t="s">
        <v>463</v>
      </c>
      <c r="E7" s="14" t="s">
        <v>842</v>
      </c>
      <c r="F7" s="14">
        <v>1</v>
      </c>
      <c r="G7" s="14">
        <v>1</v>
      </c>
      <c r="H7" s="12">
        <f>G7-F7</f>
        <v>0</v>
      </c>
      <c r="I7" s="14" t="s">
        <v>2518</v>
      </c>
      <c r="J7" s="14" t="s">
        <v>2519</v>
      </c>
      <c r="K7" s="14" t="s">
        <v>2520</v>
      </c>
    </row>
    <row r="8" spans="1:11" ht="45" customHeight="1">
      <c r="A8" s="13" t="s">
        <v>2524</v>
      </c>
      <c r="B8" s="13" t="s">
        <v>318</v>
      </c>
      <c r="C8" s="13" t="s">
        <v>1596</v>
      </c>
      <c r="D8" s="13" t="s">
        <v>463</v>
      </c>
      <c r="E8" s="13" t="s">
        <v>845</v>
      </c>
      <c r="F8" s="13">
        <v>2</v>
      </c>
      <c r="G8" s="13">
        <v>2</v>
      </c>
      <c r="H8" s="11">
        <f>G8-F8</f>
        <v>0</v>
      </c>
      <c r="I8" s="13" t="s">
        <v>2518</v>
      </c>
      <c r="J8" s="13" t="s">
        <v>2519</v>
      </c>
      <c r="K8" s="13" t="s">
        <v>2520</v>
      </c>
    </row>
    <row r="9" spans="1:11" ht="45" customHeight="1">
      <c r="A9" s="14" t="s">
        <v>2525</v>
      </c>
      <c r="B9" s="14" t="s">
        <v>318</v>
      </c>
      <c r="C9" s="14" t="s">
        <v>1596</v>
      </c>
      <c r="D9" s="14" t="s">
        <v>463</v>
      </c>
      <c r="E9" s="14" t="s">
        <v>848</v>
      </c>
      <c r="F9" s="14">
        <v>2</v>
      </c>
      <c r="G9" s="14">
        <v>2</v>
      </c>
      <c r="H9" s="12">
        <f>G9-F9</f>
        <v>0</v>
      </c>
      <c r="I9" s="14" t="s">
        <v>2518</v>
      </c>
      <c r="J9" s="14" t="s">
        <v>2519</v>
      </c>
      <c r="K9" s="14" t="s">
        <v>2520</v>
      </c>
    </row>
    <row r="10" spans="1:11" ht="45" customHeight="1">
      <c r="A10" s="13" t="s">
        <v>2526</v>
      </c>
      <c r="B10" s="13" t="s">
        <v>318</v>
      </c>
      <c r="C10" s="13" t="s">
        <v>1596</v>
      </c>
      <c r="D10" s="13" t="s">
        <v>463</v>
      </c>
      <c r="E10" s="13" t="s">
        <v>851</v>
      </c>
      <c r="F10" s="13">
        <v>3</v>
      </c>
      <c r="G10" s="13">
        <v>3</v>
      </c>
      <c r="H10" s="11">
        <f>G10-F10</f>
        <v>0</v>
      </c>
      <c r="I10" s="13" t="s">
        <v>2518</v>
      </c>
      <c r="J10" s="13" t="s">
        <v>2519</v>
      </c>
      <c r="K10" s="13" t="s">
        <v>2520</v>
      </c>
    </row>
    <row r="11" spans="1:11" ht="45" customHeight="1">
      <c r="A11" s="14" t="s">
        <v>2527</v>
      </c>
      <c r="B11" s="14" t="s">
        <v>318</v>
      </c>
      <c r="C11" s="14" t="s">
        <v>1596</v>
      </c>
      <c r="D11" s="14" t="s">
        <v>463</v>
      </c>
      <c r="E11" s="14" t="s">
        <v>854</v>
      </c>
      <c r="F11" s="14">
        <v>1</v>
      </c>
      <c r="G11" s="14">
        <v>1</v>
      </c>
      <c r="H11" s="12">
        <f>G11-F11</f>
        <v>0</v>
      </c>
      <c r="I11" s="14" t="s">
        <v>2518</v>
      </c>
      <c r="J11" s="14" t="s">
        <v>2519</v>
      </c>
      <c r="K11" s="14" t="s">
        <v>2520</v>
      </c>
    </row>
    <row r="12" spans="1:11" ht="45" customHeight="1">
      <c r="A12" s="13" t="s">
        <v>2528</v>
      </c>
      <c r="B12" s="13" t="s">
        <v>318</v>
      </c>
      <c r="C12" s="13" t="s">
        <v>1596</v>
      </c>
      <c r="D12" s="13" t="s">
        <v>463</v>
      </c>
      <c r="E12" s="13" t="s">
        <v>857</v>
      </c>
      <c r="F12" s="13">
        <v>1</v>
      </c>
      <c r="G12" s="13">
        <v>1</v>
      </c>
      <c r="H12" s="11">
        <f>G12-F12</f>
        <v>0</v>
      </c>
      <c r="I12" s="13" t="s">
        <v>2518</v>
      </c>
      <c r="J12" s="13" t="s">
        <v>2519</v>
      </c>
      <c r="K12" s="13" t="s">
        <v>2520</v>
      </c>
    </row>
    <row r="13" spans="1:11" ht="45" customHeight="1">
      <c r="A13" s="14" t="s">
        <v>2529</v>
      </c>
      <c r="B13" s="14" t="s">
        <v>318</v>
      </c>
      <c r="C13" s="14" t="s">
        <v>1596</v>
      </c>
      <c r="D13" s="14" t="s">
        <v>463</v>
      </c>
      <c r="E13" s="14" t="s">
        <v>860</v>
      </c>
      <c r="F13" s="14">
        <v>2</v>
      </c>
      <c r="G13" s="14">
        <v>2</v>
      </c>
      <c r="H13" s="12">
        <f>G13-F13</f>
        <v>0</v>
      </c>
      <c r="I13" s="14" t="s">
        <v>2518</v>
      </c>
      <c r="J13" s="14" t="s">
        <v>2519</v>
      </c>
      <c r="K13" s="14" t="s">
        <v>2520</v>
      </c>
    </row>
    <row r="14" spans="1:11" ht="45" customHeight="1">
      <c r="A14" s="13" t="s">
        <v>2530</v>
      </c>
      <c r="B14" s="13" t="s">
        <v>318</v>
      </c>
      <c r="C14" s="13" t="s">
        <v>1605</v>
      </c>
      <c r="D14" s="13" t="s">
        <v>463</v>
      </c>
      <c r="E14" s="13" t="s">
        <v>833</v>
      </c>
      <c r="F14" s="13">
        <v>3</v>
      </c>
      <c r="G14" s="13">
        <v>3</v>
      </c>
      <c r="H14" s="11">
        <f>G14-F14</f>
        <v>0</v>
      </c>
      <c r="I14" s="13" t="s">
        <v>2518</v>
      </c>
      <c r="J14" s="13" t="s">
        <v>2519</v>
      </c>
      <c r="K14" s="13" t="s">
        <v>2520</v>
      </c>
    </row>
    <row r="15" spans="1:11" ht="45" customHeight="1">
      <c r="A15" s="14" t="s">
        <v>2531</v>
      </c>
      <c r="B15" s="14" t="s">
        <v>318</v>
      </c>
      <c r="C15" s="14" t="s">
        <v>1605</v>
      </c>
      <c r="D15" s="14" t="s">
        <v>463</v>
      </c>
      <c r="E15" s="14" t="s">
        <v>836</v>
      </c>
      <c r="F15" s="14">
        <v>3</v>
      </c>
      <c r="G15" s="14">
        <v>3</v>
      </c>
      <c r="H15" s="12">
        <f>G15-F15</f>
        <v>0</v>
      </c>
      <c r="I15" s="14" t="s">
        <v>2518</v>
      </c>
      <c r="J15" s="14" t="s">
        <v>2519</v>
      </c>
      <c r="K15" s="14" t="s">
        <v>2520</v>
      </c>
    </row>
    <row r="16" spans="1:11" ht="45" customHeight="1">
      <c r="A16" s="13" t="s">
        <v>2532</v>
      </c>
      <c r="B16" s="13" t="s">
        <v>318</v>
      </c>
      <c r="C16" s="13" t="s">
        <v>1605</v>
      </c>
      <c r="D16" s="13" t="s">
        <v>463</v>
      </c>
      <c r="E16" s="13" t="s">
        <v>839</v>
      </c>
      <c r="F16" s="13">
        <v>1</v>
      </c>
      <c r="G16" s="13">
        <v>2</v>
      </c>
      <c r="H16" s="11">
        <f>G16-F16</f>
        <v>1</v>
      </c>
      <c r="I16" s="13" t="s">
        <v>2518</v>
      </c>
      <c r="J16" s="13" t="s">
        <v>2519</v>
      </c>
      <c r="K16" s="13" t="s">
        <v>2520</v>
      </c>
    </row>
    <row r="17" spans="1:11" ht="45" customHeight="1">
      <c r="A17" s="14" t="s">
        <v>2533</v>
      </c>
      <c r="B17" s="14" t="s">
        <v>318</v>
      </c>
      <c r="C17" s="14" t="s">
        <v>1605</v>
      </c>
      <c r="D17" s="14" t="s">
        <v>463</v>
      </c>
      <c r="E17" s="14" t="s">
        <v>842</v>
      </c>
      <c r="F17" s="14">
        <v>2</v>
      </c>
      <c r="G17" s="14">
        <v>2</v>
      </c>
      <c r="H17" s="12">
        <f>G17-F17</f>
        <v>0</v>
      </c>
      <c r="I17" s="14" t="s">
        <v>2518</v>
      </c>
      <c r="J17" s="14" t="s">
        <v>2519</v>
      </c>
      <c r="K17" s="14" t="s">
        <v>2520</v>
      </c>
    </row>
    <row r="18" spans="1:11" ht="45" customHeight="1">
      <c r="A18" s="13" t="s">
        <v>2534</v>
      </c>
      <c r="B18" s="13" t="s">
        <v>318</v>
      </c>
      <c r="C18" s="13" t="s">
        <v>1605</v>
      </c>
      <c r="D18" s="13" t="s">
        <v>463</v>
      </c>
      <c r="E18" s="13" t="s">
        <v>845</v>
      </c>
      <c r="F18" s="13">
        <v>1</v>
      </c>
      <c r="G18" s="13">
        <v>1</v>
      </c>
      <c r="H18" s="11">
        <f>G18-F18</f>
        <v>0</v>
      </c>
      <c r="I18" s="13" t="s">
        <v>2518</v>
      </c>
      <c r="J18" s="13" t="s">
        <v>2519</v>
      </c>
      <c r="K18" s="13" t="s">
        <v>2520</v>
      </c>
    </row>
    <row r="19" spans="1:11" ht="45" customHeight="1">
      <c r="A19" s="14" t="s">
        <v>2535</v>
      </c>
      <c r="B19" s="14" t="s">
        <v>318</v>
      </c>
      <c r="C19" s="14" t="s">
        <v>1605</v>
      </c>
      <c r="D19" s="14" t="s">
        <v>463</v>
      </c>
      <c r="E19" s="14" t="s">
        <v>848</v>
      </c>
      <c r="F19" s="14">
        <v>1</v>
      </c>
      <c r="G19" s="14">
        <v>2</v>
      </c>
      <c r="H19" s="12">
        <f>G19-F19</f>
        <v>1</v>
      </c>
      <c r="I19" s="14" t="s">
        <v>2518</v>
      </c>
      <c r="J19" s="14" t="s">
        <v>2519</v>
      </c>
      <c r="K19" s="14" t="s">
        <v>2520</v>
      </c>
    </row>
    <row r="20" spans="1:11" ht="45" customHeight="1">
      <c r="A20" s="13" t="s">
        <v>2536</v>
      </c>
      <c r="B20" s="13" t="s">
        <v>318</v>
      </c>
      <c r="C20" s="13" t="s">
        <v>1605</v>
      </c>
      <c r="D20" s="13" t="s">
        <v>463</v>
      </c>
      <c r="E20" s="13" t="s">
        <v>851</v>
      </c>
      <c r="F20" s="13">
        <v>1</v>
      </c>
      <c r="G20" s="13">
        <v>2</v>
      </c>
      <c r="H20" s="11">
        <f>G20-F20</f>
        <v>1</v>
      </c>
      <c r="I20" s="13" t="s">
        <v>2518</v>
      </c>
      <c r="J20" s="13" t="s">
        <v>2519</v>
      </c>
      <c r="K20" s="13" t="s">
        <v>2520</v>
      </c>
    </row>
    <row r="21" spans="1:11" ht="45" customHeight="1">
      <c r="A21" s="14" t="s">
        <v>2537</v>
      </c>
      <c r="B21" s="14" t="s">
        <v>318</v>
      </c>
      <c r="C21" s="14" t="s">
        <v>1605</v>
      </c>
      <c r="D21" s="14" t="s">
        <v>463</v>
      </c>
      <c r="E21" s="14" t="s">
        <v>854</v>
      </c>
      <c r="F21" s="14">
        <v>2</v>
      </c>
      <c r="G21" s="14">
        <v>2</v>
      </c>
      <c r="H21" s="12">
        <f>G21-F21</f>
        <v>0</v>
      </c>
      <c r="I21" s="14" t="s">
        <v>2518</v>
      </c>
      <c r="J21" s="14" t="s">
        <v>2519</v>
      </c>
      <c r="K21" s="14" t="s">
        <v>2520</v>
      </c>
    </row>
    <row r="22" spans="1:11" ht="45" customHeight="1">
      <c r="A22" s="13" t="s">
        <v>2538</v>
      </c>
      <c r="B22" s="13" t="s">
        <v>318</v>
      </c>
      <c r="C22" s="13" t="s">
        <v>1605</v>
      </c>
      <c r="D22" s="13" t="s">
        <v>463</v>
      </c>
      <c r="E22" s="13" t="s">
        <v>857</v>
      </c>
      <c r="F22" s="13">
        <v>3</v>
      </c>
      <c r="G22" s="13">
        <v>3</v>
      </c>
      <c r="H22" s="11">
        <f>G22-F22</f>
        <v>0</v>
      </c>
      <c r="I22" s="13" t="s">
        <v>2518</v>
      </c>
      <c r="J22" s="13" t="s">
        <v>2519</v>
      </c>
      <c r="K22" s="13" t="s">
        <v>2520</v>
      </c>
    </row>
    <row r="23" spans="1:11" ht="45" customHeight="1">
      <c r="A23" s="14" t="s">
        <v>2539</v>
      </c>
      <c r="B23" s="14" t="s">
        <v>318</v>
      </c>
      <c r="C23" s="14" t="s">
        <v>1605</v>
      </c>
      <c r="D23" s="14" t="s">
        <v>463</v>
      </c>
      <c r="E23" s="14" t="s">
        <v>860</v>
      </c>
      <c r="F23" s="14">
        <v>1</v>
      </c>
      <c r="G23" s="14">
        <v>2</v>
      </c>
      <c r="H23" s="12">
        <f>G23-F23</f>
        <v>1</v>
      </c>
      <c r="I23" s="14" t="s">
        <v>2518</v>
      </c>
      <c r="J23" s="14" t="s">
        <v>2519</v>
      </c>
      <c r="K23" s="14" t="s">
        <v>2520</v>
      </c>
    </row>
    <row r="24" spans="1:11" ht="45" customHeight="1">
      <c r="A24" s="13" t="s">
        <v>2540</v>
      </c>
      <c r="B24" s="13" t="s">
        <v>318</v>
      </c>
      <c r="C24" s="13" t="s">
        <v>1611</v>
      </c>
      <c r="D24" s="13" t="s">
        <v>471</v>
      </c>
      <c r="E24" s="13" t="s">
        <v>833</v>
      </c>
      <c r="F24" s="13">
        <v>2</v>
      </c>
      <c r="G24" s="13">
        <v>2</v>
      </c>
      <c r="H24" s="11">
        <f>G24-F24</f>
        <v>0</v>
      </c>
      <c r="I24" s="13" t="s">
        <v>2518</v>
      </c>
      <c r="J24" s="13" t="s">
        <v>2519</v>
      </c>
      <c r="K24" s="13" t="s">
        <v>2520</v>
      </c>
    </row>
    <row r="25" spans="1:11" ht="45" customHeight="1">
      <c r="A25" s="14" t="s">
        <v>2541</v>
      </c>
      <c r="B25" s="14" t="s">
        <v>318</v>
      </c>
      <c r="C25" s="14" t="s">
        <v>1611</v>
      </c>
      <c r="D25" s="14" t="s">
        <v>471</v>
      </c>
      <c r="E25" s="14" t="s">
        <v>836</v>
      </c>
      <c r="F25" s="14">
        <v>2</v>
      </c>
      <c r="G25" s="14">
        <v>2</v>
      </c>
      <c r="H25" s="12">
        <f>G25-F25</f>
        <v>0</v>
      </c>
      <c r="I25" s="14" t="s">
        <v>2518</v>
      </c>
      <c r="J25" s="14" t="s">
        <v>2519</v>
      </c>
      <c r="K25" s="14" t="s">
        <v>2520</v>
      </c>
    </row>
    <row r="26" spans="1:11" ht="45" customHeight="1">
      <c r="A26" s="13" t="s">
        <v>2542</v>
      </c>
      <c r="B26" s="13" t="s">
        <v>318</v>
      </c>
      <c r="C26" s="13" t="s">
        <v>1611</v>
      </c>
      <c r="D26" s="13" t="s">
        <v>471</v>
      </c>
      <c r="E26" s="13" t="s">
        <v>839</v>
      </c>
      <c r="F26" s="13">
        <v>1</v>
      </c>
      <c r="G26" s="13">
        <v>2</v>
      </c>
      <c r="H26" s="11">
        <f>G26-F26</f>
        <v>1</v>
      </c>
      <c r="I26" s="13" t="s">
        <v>2518</v>
      </c>
      <c r="J26" s="13" t="s">
        <v>2519</v>
      </c>
      <c r="K26" s="13" t="s">
        <v>2520</v>
      </c>
    </row>
    <row r="27" spans="1:11" ht="45" customHeight="1">
      <c r="A27" s="14" t="s">
        <v>2543</v>
      </c>
      <c r="B27" s="14" t="s">
        <v>318</v>
      </c>
      <c r="C27" s="14" t="s">
        <v>1611</v>
      </c>
      <c r="D27" s="14" t="s">
        <v>471</v>
      </c>
      <c r="E27" s="14" t="s">
        <v>842</v>
      </c>
      <c r="F27" s="14">
        <v>2</v>
      </c>
      <c r="G27" s="14">
        <v>2</v>
      </c>
      <c r="H27" s="12">
        <f>G27-F27</f>
        <v>0</v>
      </c>
      <c r="I27" s="14" t="s">
        <v>2518</v>
      </c>
      <c r="J27" s="14" t="s">
        <v>2519</v>
      </c>
      <c r="K27" s="14" t="s">
        <v>2520</v>
      </c>
    </row>
    <row r="28" spans="1:11" ht="45" customHeight="1">
      <c r="A28" s="13" t="s">
        <v>2544</v>
      </c>
      <c r="B28" s="13" t="s">
        <v>318</v>
      </c>
      <c r="C28" s="13" t="s">
        <v>1611</v>
      </c>
      <c r="D28" s="13" t="s">
        <v>471</v>
      </c>
      <c r="E28" s="13" t="s">
        <v>881</v>
      </c>
      <c r="F28" s="13">
        <v>2</v>
      </c>
      <c r="G28" s="13">
        <v>2</v>
      </c>
      <c r="H28" s="11">
        <f>G28-F28</f>
        <v>0</v>
      </c>
      <c r="I28" s="13" t="s">
        <v>2518</v>
      </c>
      <c r="J28" s="13" t="s">
        <v>2519</v>
      </c>
      <c r="K28" s="13" t="s">
        <v>2520</v>
      </c>
    </row>
    <row r="29" spans="1:11" ht="45" customHeight="1">
      <c r="A29" s="14" t="s">
        <v>2545</v>
      </c>
      <c r="B29" s="14" t="s">
        <v>318</v>
      </c>
      <c r="C29" s="14" t="s">
        <v>1611</v>
      </c>
      <c r="D29" s="14" t="s">
        <v>471</v>
      </c>
      <c r="E29" s="14" t="s">
        <v>848</v>
      </c>
      <c r="F29" s="14">
        <v>2</v>
      </c>
      <c r="G29" s="14">
        <v>2</v>
      </c>
      <c r="H29" s="12">
        <f>G29-F29</f>
        <v>0</v>
      </c>
      <c r="I29" s="14" t="s">
        <v>2518</v>
      </c>
      <c r="J29" s="14" t="s">
        <v>2519</v>
      </c>
      <c r="K29" s="14" t="s">
        <v>2520</v>
      </c>
    </row>
    <row r="30" spans="1:11" ht="45" customHeight="1">
      <c r="A30" s="13" t="s">
        <v>2546</v>
      </c>
      <c r="B30" s="13" t="s">
        <v>318</v>
      </c>
      <c r="C30" s="13" t="s">
        <v>1611</v>
      </c>
      <c r="D30" s="13" t="s">
        <v>471</v>
      </c>
      <c r="E30" s="13" t="s">
        <v>851</v>
      </c>
      <c r="F30" s="13">
        <v>1</v>
      </c>
      <c r="G30" s="13">
        <v>1</v>
      </c>
      <c r="H30" s="11">
        <f>G30-F30</f>
        <v>0</v>
      </c>
      <c r="I30" s="13" t="s">
        <v>2518</v>
      </c>
      <c r="J30" s="13" t="s">
        <v>2519</v>
      </c>
      <c r="K30" s="13" t="s">
        <v>2520</v>
      </c>
    </row>
    <row r="31" spans="1:11" ht="45" customHeight="1">
      <c r="A31" s="14" t="s">
        <v>2547</v>
      </c>
      <c r="B31" s="14" t="s">
        <v>318</v>
      </c>
      <c r="C31" s="14" t="s">
        <v>1611</v>
      </c>
      <c r="D31" s="14" t="s">
        <v>471</v>
      </c>
      <c r="E31" s="14" t="s">
        <v>854</v>
      </c>
      <c r="F31" s="14">
        <v>3</v>
      </c>
      <c r="G31" s="14">
        <v>3</v>
      </c>
      <c r="H31" s="12">
        <f>G31-F31</f>
        <v>0</v>
      </c>
      <c r="I31" s="14" t="s">
        <v>2518</v>
      </c>
      <c r="J31" s="14" t="s">
        <v>2519</v>
      </c>
      <c r="K31" s="14" t="s">
        <v>2520</v>
      </c>
    </row>
    <row r="32" spans="1:11" ht="45" customHeight="1">
      <c r="A32" s="13" t="s">
        <v>2548</v>
      </c>
      <c r="B32" s="13" t="s">
        <v>318</v>
      </c>
      <c r="C32" s="13" t="s">
        <v>1611</v>
      </c>
      <c r="D32" s="13" t="s">
        <v>471</v>
      </c>
      <c r="E32" s="13" t="s">
        <v>857</v>
      </c>
      <c r="F32" s="13">
        <v>1</v>
      </c>
      <c r="G32" s="13">
        <v>2</v>
      </c>
      <c r="H32" s="11">
        <f>G32-F32</f>
        <v>1</v>
      </c>
      <c r="I32" s="13" t="s">
        <v>2518</v>
      </c>
      <c r="J32" s="13" t="s">
        <v>2519</v>
      </c>
      <c r="K32" s="13" t="s">
        <v>2520</v>
      </c>
    </row>
    <row r="33" spans="1:11" ht="45" customHeight="1">
      <c r="A33" s="14" t="s">
        <v>2549</v>
      </c>
      <c r="B33" s="14" t="s">
        <v>318</v>
      </c>
      <c r="C33" s="14" t="s">
        <v>1611</v>
      </c>
      <c r="D33" s="14" t="s">
        <v>471</v>
      </c>
      <c r="E33" s="14" t="s">
        <v>860</v>
      </c>
      <c r="F33" s="14">
        <v>1</v>
      </c>
      <c r="G33" s="14">
        <v>2</v>
      </c>
      <c r="H33" s="12">
        <f>G33-F33</f>
        <v>1</v>
      </c>
      <c r="I33" s="14" t="s">
        <v>2518</v>
      </c>
      <c r="J33" s="14" t="s">
        <v>2519</v>
      </c>
      <c r="K33" s="14" t="s">
        <v>2520</v>
      </c>
    </row>
    <row r="34" spans="1:11" ht="45" customHeight="1">
      <c r="A34" s="13" t="s">
        <v>2550</v>
      </c>
      <c r="B34" s="13" t="s">
        <v>318</v>
      </c>
      <c r="C34" s="13" t="s">
        <v>1616</v>
      </c>
      <c r="D34" s="13" t="s">
        <v>471</v>
      </c>
      <c r="E34" s="13" t="s">
        <v>833</v>
      </c>
      <c r="F34" s="13">
        <v>2</v>
      </c>
      <c r="G34" s="13">
        <v>3</v>
      </c>
      <c r="H34" s="11">
        <f>G34-F34</f>
        <v>1</v>
      </c>
      <c r="I34" s="13" t="s">
        <v>2518</v>
      </c>
      <c r="J34" s="13" t="s">
        <v>2519</v>
      </c>
      <c r="K34" s="13" t="s">
        <v>2520</v>
      </c>
    </row>
    <row r="35" spans="1:11" ht="45" customHeight="1">
      <c r="A35" s="14" t="s">
        <v>2551</v>
      </c>
      <c r="B35" s="14" t="s">
        <v>318</v>
      </c>
      <c r="C35" s="14" t="s">
        <v>1616</v>
      </c>
      <c r="D35" s="14" t="s">
        <v>471</v>
      </c>
      <c r="E35" s="14" t="s">
        <v>836</v>
      </c>
      <c r="F35" s="14">
        <v>2</v>
      </c>
      <c r="G35" s="14">
        <v>3</v>
      </c>
      <c r="H35" s="12">
        <f>G35-F35</f>
        <v>1</v>
      </c>
      <c r="I35" s="14" t="s">
        <v>2518</v>
      </c>
      <c r="J35" s="14" t="s">
        <v>2519</v>
      </c>
      <c r="K35" s="14" t="s">
        <v>2520</v>
      </c>
    </row>
    <row r="36" spans="1:11" ht="45" customHeight="1">
      <c r="A36" s="13" t="s">
        <v>2552</v>
      </c>
      <c r="B36" s="13" t="s">
        <v>318</v>
      </c>
      <c r="C36" s="13" t="s">
        <v>1616</v>
      </c>
      <c r="D36" s="13" t="s">
        <v>471</v>
      </c>
      <c r="E36" s="13" t="s">
        <v>839</v>
      </c>
      <c r="F36" s="13">
        <v>3</v>
      </c>
      <c r="G36" s="13">
        <v>3</v>
      </c>
      <c r="H36" s="11">
        <f>G36-F36</f>
        <v>0</v>
      </c>
      <c r="I36" s="13" t="s">
        <v>2518</v>
      </c>
      <c r="J36" s="13" t="s">
        <v>2519</v>
      </c>
      <c r="K36" s="13" t="s">
        <v>2520</v>
      </c>
    </row>
    <row r="37" spans="1:11" ht="45" customHeight="1">
      <c r="A37" s="14" t="s">
        <v>2553</v>
      </c>
      <c r="B37" s="14" t="s">
        <v>318</v>
      </c>
      <c r="C37" s="14" t="s">
        <v>1616</v>
      </c>
      <c r="D37" s="14" t="s">
        <v>471</v>
      </c>
      <c r="E37" s="14" t="s">
        <v>842</v>
      </c>
      <c r="F37" s="14">
        <v>4</v>
      </c>
      <c r="G37" s="14">
        <v>4</v>
      </c>
      <c r="H37" s="12">
        <f>G37-F37</f>
        <v>0</v>
      </c>
      <c r="I37" s="14" t="s">
        <v>2518</v>
      </c>
      <c r="J37" s="14" t="s">
        <v>2519</v>
      </c>
      <c r="K37" s="14" t="s">
        <v>2520</v>
      </c>
    </row>
    <row r="38" spans="1:11" ht="45" customHeight="1">
      <c r="A38" s="13" t="s">
        <v>2554</v>
      </c>
      <c r="B38" s="13" t="s">
        <v>318</v>
      </c>
      <c r="C38" s="13" t="s">
        <v>1616</v>
      </c>
      <c r="D38" s="13" t="s">
        <v>471</v>
      </c>
      <c r="E38" s="13" t="s">
        <v>881</v>
      </c>
      <c r="F38" s="13">
        <v>3</v>
      </c>
      <c r="G38" s="13">
        <v>3</v>
      </c>
      <c r="H38" s="11">
        <f>G38-F38</f>
        <v>0</v>
      </c>
      <c r="I38" s="13" t="s">
        <v>2518</v>
      </c>
      <c r="J38" s="13" t="s">
        <v>2519</v>
      </c>
      <c r="K38" s="13" t="s">
        <v>2520</v>
      </c>
    </row>
    <row r="39" spans="1:11" ht="45" customHeight="1">
      <c r="A39" s="14" t="s">
        <v>2555</v>
      </c>
      <c r="B39" s="14" t="s">
        <v>318</v>
      </c>
      <c r="C39" s="14" t="s">
        <v>1616</v>
      </c>
      <c r="D39" s="14" t="s">
        <v>471</v>
      </c>
      <c r="E39" s="14" t="s">
        <v>848</v>
      </c>
      <c r="F39" s="14">
        <v>2</v>
      </c>
      <c r="G39" s="14">
        <v>3</v>
      </c>
      <c r="H39" s="12">
        <f>G39-F39</f>
        <v>1</v>
      </c>
      <c r="I39" s="14" t="s">
        <v>2518</v>
      </c>
      <c r="J39" s="14" t="s">
        <v>2519</v>
      </c>
      <c r="K39" s="14" t="s">
        <v>2520</v>
      </c>
    </row>
    <row r="40" spans="1:11" ht="45" customHeight="1">
      <c r="A40" s="13" t="s">
        <v>2556</v>
      </c>
      <c r="B40" s="13" t="s">
        <v>318</v>
      </c>
      <c r="C40" s="13" t="s">
        <v>1616</v>
      </c>
      <c r="D40" s="13" t="s">
        <v>471</v>
      </c>
      <c r="E40" s="13" t="s">
        <v>851</v>
      </c>
      <c r="F40" s="13">
        <v>4</v>
      </c>
      <c r="G40" s="13">
        <v>4</v>
      </c>
      <c r="H40" s="11">
        <f>G40-F40</f>
        <v>0</v>
      </c>
      <c r="I40" s="13" t="s">
        <v>2518</v>
      </c>
      <c r="J40" s="13" t="s">
        <v>2519</v>
      </c>
      <c r="K40" s="13" t="s">
        <v>2520</v>
      </c>
    </row>
    <row r="41" spans="1:11" ht="45" customHeight="1">
      <c r="A41" s="14" t="s">
        <v>2557</v>
      </c>
      <c r="B41" s="14" t="s">
        <v>318</v>
      </c>
      <c r="C41" s="14" t="s">
        <v>1616</v>
      </c>
      <c r="D41" s="14" t="s">
        <v>471</v>
      </c>
      <c r="E41" s="14" t="s">
        <v>854</v>
      </c>
      <c r="F41" s="14">
        <v>3</v>
      </c>
      <c r="G41" s="14">
        <v>4</v>
      </c>
      <c r="H41" s="12">
        <f>G41-F41</f>
        <v>1</v>
      </c>
      <c r="I41" s="14" t="s">
        <v>2518</v>
      </c>
      <c r="J41" s="14" t="s">
        <v>2519</v>
      </c>
      <c r="K41" s="14" t="s">
        <v>2520</v>
      </c>
    </row>
    <row r="42" spans="1:11" ht="45" customHeight="1">
      <c r="A42" s="13" t="s">
        <v>2558</v>
      </c>
      <c r="B42" s="13" t="s">
        <v>318</v>
      </c>
      <c r="C42" s="13" t="s">
        <v>1616</v>
      </c>
      <c r="D42" s="13" t="s">
        <v>471</v>
      </c>
      <c r="E42" s="13" t="s">
        <v>857</v>
      </c>
      <c r="F42" s="13">
        <v>4</v>
      </c>
      <c r="G42" s="13">
        <v>4</v>
      </c>
      <c r="H42" s="11">
        <f>G42-F42</f>
        <v>0</v>
      </c>
      <c r="I42" s="13" t="s">
        <v>2518</v>
      </c>
      <c r="J42" s="13" t="s">
        <v>2519</v>
      </c>
      <c r="K42" s="13" t="s">
        <v>2520</v>
      </c>
    </row>
    <row r="43" spans="1:11" ht="45" customHeight="1">
      <c r="A43" s="14" t="s">
        <v>2559</v>
      </c>
      <c r="B43" s="14" t="s">
        <v>318</v>
      </c>
      <c r="C43" s="14" t="s">
        <v>1616</v>
      </c>
      <c r="D43" s="14" t="s">
        <v>471</v>
      </c>
      <c r="E43" s="14" t="s">
        <v>860</v>
      </c>
      <c r="F43" s="14">
        <v>3</v>
      </c>
      <c r="G43" s="14">
        <v>4</v>
      </c>
      <c r="H43" s="12">
        <f>G43-F43</f>
        <v>1</v>
      </c>
      <c r="I43" s="14" t="s">
        <v>2518</v>
      </c>
      <c r="J43" s="14" t="s">
        <v>2519</v>
      </c>
      <c r="K43" s="14" t="s">
        <v>2520</v>
      </c>
    </row>
    <row r="44" spans="1:11" ht="45" customHeight="1">
      <c r="A44" s="13" t="s">
        <v>2560</v>
      </c>
      <c r="B44" s="13" t="s">
        <v>318</v>
      </c>
      <c r="C44" s="13" t="s">
        <v>1618</v>
      </c>
      <c r="D44" s="13" t="s">
        <v>471</v>
      </c>
      <c r="E44" s="13" t="s">
        <v>833</v>
      </c>
      <c r="F44" s="13">
        <v>2</v>
      </c>
      <c r="G44" s="13">
        <v>2</v>
      </c>
      <c r="H44" s="11">
        <f>G44-F44</f>
        <v>0</v>
      </c>
      <c r="I44" s="13" t="s">
        <v>2518</v>
      </c>
      <c r="J44" s="13" t="s">
        <v>2519</v>
      </c>
      <c r="K44" s="13" t="s">
        <v>2520</v>
      </c>
    </row>
    <row r="45" spans="1:11" ht="45" customHeight="1">
      <c r="A45" s="14" t="s">
        <v>2561</v>
      </c>
      <c r="B45" s="14" t="s">
        <v>318</v>
      </c>
      <c r="C45" s="14" t="s">
        <v>1618</v>
      </c>
      <c r="D45" s="14" t="s">
        <v>471</v>
      </c>
      <c r="E45" s="14" t="s">
        <v>836</v>
      </c>
      <c r="F45" s="14">
        <v>2</v>
      </c>
      <c r="G45" s="14">
        <v>2</v>
      </c>
      <c r="H45" s="12">
        <f>G45-F45</f>
        <v>0</v>
      </c>
      <c r="I45" s="14" t="s">
        <v>2518</v>
      </c>
      <c r="J45" s="14" t="s">
        <v>2519</v>
      </c>
      <c r="K45" s="14" t="s">
        <v>2520</v>
      </c>
    </row>
    <row r="46" spans="1:11" ht="45" customHeight="1">
      <c r="A46" s="13" t="s">
        <v>2562</v>
      </c>
      <c r="B46" s="13" t="s">
        <v>318</v>
      </c>
      <c r="C46" s="13" t="s">
        <v>1618</v>
      </c>
      <c r="D46" s="13" t="s">
        <v>471</v>
      </c>
      <c r="E46" s="13" t="s">
        <v>839</v>
      </c>
      <c r="F46" s="13">
        <v>2</v>
      </c>
      <c r="G46" s="13">
        <v>3</v>
      </c>
      <c r="H46" s="11">
        <f>G46-F46</f>
        <v>1</v>
      </c>
      <c r="I46" s="13" t="s">
        <v>2518</v>
      </c>
      <c r="J46" s="13" t="s">
        <v>2519</v>
      </c>
      <c r="K46" s="13" t="s">
        <v>2520</v>
      </c>
    </row>
    <row r="47" spans="1:11" ht="45" customHeight="1">
      <c r="A47" s="14" t="s">
        <v>2563</v>
      </c>
      <c r="B47" s="14" t="s">
        <v>318</v>
      </c>
      <c r="C47" s="14" t="s">
        <v>1618</v>
      </c>
      <c r="D47" s="14" t="s">
        <v>471</v>
      </c>
      <c r="E47" s="14" t="s">
        <v>842</v>
      </c>
      <c r="F47" s="14">
        <v>3</v>
      </c>
      <c r="G47" s="14">
        <v>3</v>
      </c>
      <c r="H47" s="12">
        <f>G47-F47</f>
        <v>0</v>
      </c>
      <c r="I47" s="14" t="s">
        <v>2518</v>
      </c>
      <c r="J47" s="14" t="s">
        <v>2519</v>
      </c>
      <c r="K47" s="14" t="s">
        <v>2520</v>
      </c>
    </row>
    <row r="48" spans="1:11" ht="45" customHeight="1">
      <c r="A48" s="13" t="s">
        <v>2564</v>
      </c>
      <c r="B48" s="13" t="s">
        <v>318</v>
      </c>
      <c r="C48" s="13" t="s">
        <v>1618</v>
      </c>
      <c r="D48" s="13" t="s">
        <v>471</v>
      </c>
      <c r="E48" s="13" t="s">
        <v>881</v>
      </c>
      <c r="F48" s="13">
        <v>2</v>
      </c>
      <c r="G48" s="13">
        <v>2</v>
      </c>
      <c r="H48" s="11">
        <f>G48-F48</f>
        <v>0</v>
      </c>
      <c r="I48" s="13" t="s">
        <v>2518</v>
      </c>
      <c r="J48" s="13" t="s">
        <v>2519</v>
      </c>
      <c r="K48" s="13" t="s">
        <v>2520</v>
      </c>
    </row>
    <row r="49" spans="1:11" ht="45" customHeight="1">
      <c r="A49" s="14" t="s">
        <v>2565</v>
      </c>
      <c r="B49" s="14" t="s">
        <v>318</v>
      </c>
      <c r="C49" s="14" t="s">
        <v>1618</v>
      </c>
      <c r="D49" s="14" t="s">
        <v>471</v>
      </c>
      <c r="E49" s="14" t="s">
        <v>848</v>
      </c>
      <c r="F49" s="14">
        <v>2</v>
      </c>
      <c r="G49" s="14">
        <v>2</v>
      </c>
      <c r="H49" s="12">
        <f>G49-F49</f>
        <v>0</v>
      </c>
      <c r="I49" s="14" t="s">
        <v>2518</v>
      </c>
      <c r="J49" s="14" t="s">
        <v>2519</v>
      </c>
      <c r="K49" s="14" t="s">
        <v>2520</v>
      </c>
    </row>
    <row r="50" spans="1:11" ht="45" customHeight="1">
      <c r="A50" s="13" t="s">
        <v>2566</v>
      </c>
      <c r="B50" s="13" t="s">
        <v>318</v>
      </c>
      <c r="C50" s="13" t="s">
        <v>1618</v>
      </c>
      <c r="D50" s="13" t="s">
        <v>471</v>
      </c>
      <c r="E50" s="13" t="s">
        <v>851</v>
      </c>
      <c r="F50" s="13">
        <v>1</v>
      </c>
      <c r="G50" s="13">
        <v>1</v>
      </c>
      <c r="H50" s="11">
        <f>G50-F50</f>
        <v>0</v>
      </c>
      <c r="I50" s="13" t="s">
        <v>2518</v>
      </c>
      <c r="J50" s="13" t="s">
        <v>2519</v>
      </c>
      <c r="K50" s="13" t="s">
        <v>2520</v>
      </c>
    </row>
    <row r="51" spans="1:11" ht="45" customHeight="1">
      <c r="A51" s="14" t="s">
        <v>2567</v>
      </c>
      <c r="B51" s="14" t="s">
        <v>318</v>
      </c>
      <c r="C51" s="14" t="s">
        <v>1618</v>
      </c>
      <c r="D51" s="14" t="s">
        <v>471</v>
      </c>
      <c r="E51" s="14" t="s">
        <v>854</v>
      </c>
      <c r="F51" s="14">
        <v>2</v>
      </c>
      <c r="G51" s="14">
        <v>2</v>
      </c>
      <c r="H51" s="12">
        <f>G51-F51</f>
        <v>0</v>
      </c>
      <c r="I51" s="14" t="s">
        <v>2518</v>
      </c>
      <c r="J51" s="14" t="s">
        <v>2519</v>
      </c>
      <c r="K51" s="14" t="s">
        <v>2520</v>
      </c>
    </row>
    <row r="52" spans="1:11" ht="45" customHeight="1">
      <c r="A52" s="13" t="s">
        <v>2568</v>
      </c>
      <c r="B52" s="13" t="s">
        <v>318</v>
      </c>
      <c r="C52" s="13" t="s">
        <v>1618</v>
      </c>
      <c r="D52" s="13" t="s">
        <v>471</v>
      </c>
      <c r="E52" s="13" t="s">
        <v>857</v>
      </c>
      <c r="F52" s="13">
        <v>2</v>
      </c>
      <c r="G52" s="13">
        <v>3</v>
      </c>
      <c r="H52" s="11">
        <f>G52-F52</f>
        <v>1</v>
      </c>
      <c r="I52" s="13" t="s">
        <v>2518</v>
      </c>
      <c r="J52" s="13" t="s">
        <v>2519</v>
      </c>
      <c r="K52" s="13" t="s">
        <v>2520</v>
      </c>
    </row>
    <row r="53" spans="1:11" ht="45" customHeight="1">
      <c r="A53" s="14" t="s">
        <v>2569</v>
      </c>
      <c r="B53" s="14" t="s">
        <v>318</v>
      </c>
      <c r="C53" s="14" t="s">
        <v>1618</v>
      </c>
      <c r="D53" s="14" t="s">
        <v>471</v>
      </c>
      <c r="E53" s="14" t="s">
        <v>860</v>
      </c>
      <c r="F53" s="14">
        <v>2</v>
      </c>
      <c r="G53" s="14">
        <v>2</v>
      </c>
      <c r="H53" s="12">
        <f>G53-F53</f>
        <v>0</v>
      </c>
      <c r="I53" s="14" t="s">
        <v>2518</v>
      </c>
      <c r="J53" s="14" t="s">
        <v>2519</v>
      </c>
      <c r="K53" s="14" t="s">
        <v>2520</v>
      </c>
    </row>
    <row r="54" spans="1:11" ht="45" customHeight="1">
      <c r="A54" s="13" t="s">
        <v>2570</v>
      </c>
      <c r="B54" s="13" t="s">
        <v>318</v>
      </c>
      <c r="C54" s="13" t="s">
        <v>1622</v>
      </c>
      <c r="D54" s="13" t="s">
        <v>475</v>
      </c>
      <c r="E54" s="13" t="s">
        <v>833</v>
      </c>
      <c r="F54" s="13">
        <v>2</v>
      </c>
      <c r="G54" s="13">
        <v>2</v>
      </c>
      <c r="H54" s="11">
        <f>G54-F54</f>
        <v>0</v>
      </c>
      <c r="I54" s="13" t="s">
        <v>2518</v>
      </c>
      <c r="J54" s="13" t="s">
        <v>2519</v>
      </c>
      <c r="K54" s="13" t="s">
        <v>2520</v>
      </c>
    </row>
    <row r="55" spans="1:11" ht="45" customHeight="1">
      <c r="A55" s="14" t="s">
        <v>2571</v>
      </c>
      <c r="B55" s="14" t="s">
        <v>318</v>
      </c>
      <c r="C55" s="14" t="s">
        <v>1622</v>
      </c>
      <c r="D55" s="14" t="s">
        <v>475</v>
      </c>
      <c r="E55" s="14" t="s">
        <v>836</v>
      </c>
      <c r="F55" s="14">
        <v>2</v>
      </c>
      <c r="G55" s="14">
        <v>2</v>
      </c>
      <c r="H55" s="12">
        <f>G55-F55</f>
        <v>0</v>
      </c>
      <c r="I55" s="14" t="s">
        <v>2518</v>
      </c>
      <c r="J55" s="14" t="s">
        <v>2519</v>
      </c>
      <c r="K55" s="14" t="s">
        <v>2520</v>
      </c>
    </row>
    <row r="56" spans="1:11" ht="45" customHeight="1">
      <c r="A56" s="13" t="s">
        <v>2572</v>
      </c>
      <c r="B56" s="13" t="s">
        <v>318</v>
      </c>
      <c r="C56" s="13" t="s">
        <v>1622</v>
      </c>
      <c r="D56" s="13" t="s">
        <v>475</v>
      </c>
      <c r="E56" s="13" t="s">
        <v>842</v>
      </c>
      <c r="F56" s="13">
        <v>2</v>
      </c>
      <c r="G56" s="13">
        <v>2</v>
      </c>
      <c r="H56" s="11">
        <f>G56-F56</f>
        <v>0</v>
      </c>
      <c r="I56" s="13" t="s">
        <v>2518</v>
      </c>
      <c r="J56" s="13" t="s">
        <v>2519</v>
      </c>
      <c r="K56" s="13" t="s">
        <v>2520</v>
      </c>
    </row>
    <row r="57" spans="1:11" ht="45" customHeight="1">
      <c r="A57" s="14" t="s">
        <v>2573</v>
      </c>
      <c r="B57" s="14" t="s">
        <v>318</v>
      </c>
      <c r="C57" s="14" t="s">
        <v>1622</v>
      </c>
      <c r="D57" s="14" t="s">
        <v>475</v>
      </c>
      <c r="E57" s="14" t="s">
        <v>866</v>
      </c>
      <c r="F57" s="14">
        <v>2</v>
      </c>
      <c r="G57" s="14">
        <v>2</v>
      </c>
      <c r="H57" s="12">
        <f>G57-F57</f>
        <v>0</v>
      </c>
      <c r="I57" s="14" t="s">
        <v>2518</v>
      </c>
      <c r="J57" s="14" t="s">
        <v>2519</v>
      </c>
      <c r="K57" s="14" t="s">
        <v>2520</v>
      </c>
    </row>
    <row r="58" spans="1:11" ht="45" customHeight="1">
      <c r="A58" s="13" t="s">
        <v>2574</v>
      </c>
      <c r="B58" s="13" t="s">
        <v>318</v>
      </c>
      <c r="C58" s="13" t="s">
        <v>1622</v>
      </c>
      <c r="D58" s="13" t="s">
        <v>475</v>
      </c>
      <c r="E58" s="13" t="s">
        <v>869</v>
      </c>
      <c r="F58" s="13">
        <v>2</v>
      </c>
      <c r="G58" s="13">
        <v>2</v>
      </c>
      <c r="H58" s="11">
        <f>G58-F58</f>
        <v>0</v>
      </c>
      <c r="I58" s="13" t="s">
        <v>2518</v>
      </c>
      <c r="J58" s="13" t="s">
        <v>2519</v>
      </c>
      <c r="K58" s="13" t="s">
        <v>2520</v>
      </c>
    </row>
    <row r="59" spans="1:11" ht="45" customHeight="1">
      <c r="A59" s="14" t="s">
        <v>2575</v>
      </c>
      <c r="B59" s="14" t="s">
        <v>318</v>
      </c>
      <c r="C59" s="14" t="s">
        <v>1622</v>
      </c>
      <c r="D59" s="14" t="s">
        <v>475</v>
      </c>
      <c r="E59" s="14" t="s">
        <v>848</v>
      </c>
      <c r="F59" s="14">
        <v>1</v>
      </c>
      <c r="G59" s="14">
        <v>2</v>
      </c>
      <c r="H59" s="12">
        <f>G59-F59</f>
        <v>1</v>
      </c>
      <c r="I59" s="14" t="s">
        <v>2518</v>
      </c>
      <c r="J59" s="14" t="s">
        <v>2519</v>
      </c>
      <c r="K59" s="14" t="s">
        <v>2520</v>
      </c>
    </row>
    <row r="60" spans="1:11" ht="45" customHeight="1">
      <c r="A60" s="13" t="s">
        <v>2576</v>
      </c>
      <c r="B60" s="13" t="s">
        <v>318</v>
      </c>
      <c r="C60" s="13" t="s">
        <v>1622</v>
      </c>
      <c r="D60" s="13" t="s">
        <v>475</v>
      </c>
      <c r="E60" s="13" t="s">
        <v>851</v>
      </c>
      <c r="F60" s="13">
        <v>2</v>
      </c>
      <c r="G60" s="13">
        <v>2</v>
      </c>
      <c r="H60" s="11">
        <f>G60-F60</f>
        <v>0</v>
      </c>
      <c r="I60" s="13" t="s">
        <v>2518</v>
      </c>
      <c r="J60" s="13" t="s">
        <v>2519</v>
      </c>
      <c r="K60" s="13" t="s">
        <v>2520</v>
      </c>
    </row>
    <row r="61" spans="1:11" ht="45" customHeight="1">
      <c r="A61" s="14" t="s">
        <v>2577</v>
      </c>
      <c r="B61" s="14" t="s">
        <v>318</v>
      </c>
      <c r="C61" s="14" t="s">
        <v>1622</v>
      </c>
      <c r="D61" s="14" t="s">
        <v>475</v>
      </c>
      <c r="E61" s="14" t="s">
        <v>854</v>
      </c>
      <c r="F61" s="14">
        <v>2</v>
      </c>
      <c r="G61" s="14">
        <v>2</v>
      </c>
      <c r="H61" s="12">
        <f>G61-F61</f>
        <v>0</v>
      </c>
      <c r="I61" s="14" t="s">
        <v>2518</v>
      </c>
      <c r="J61" s="14" t="s">
        <v>2519</v>
      </c>
      <c r="K61" s="14" t="s">
        <v>2520</v>
      </c>
    </row>
    <row r="62" spans="1:11" ht="45" customHeight="1">
      <c r="A62" s="13" t="s">
        <v>2578</v>
      </c>
      <c r="B62" s="13" t="s">
        <v>318</v>
      </c>
      <c r="C62" s="13" t="s">
        <v>1622</v>
      </c>
      <c r="D62" s="13" t="s">
        <v>475</v>
      </c>
      <c r="E62" s="13" t="s">
        <v>857</v>
      </c>
      <c r="F62" s="13">
        <v>2</v>
      </c>
      <c r="G62" s="13">
        <v>2</v>
      </c>
      <c r="H62" s="11">
        <f>G62-F62</f>
        <v>0</v>
      </c>
      <c r="I62" s="13" t="s">
        <v>2518</v>
      </c>
      <c r="J62" s="13" t="s">
        <v>2519</v>
      </c>
      <c r="K62" s="13" t="s">
        <v>2520</v>
      </c>
    </row>
    <row r="63" spans="1:11" ht="45" customHeight="1">
      <c r="A63" s="14" t="s">
        <v>2579</v>
      </c>
      <c r="B63" s="14" t="s">
        <v>318</v>
      </c>
      <c r="C63" s="14" t="s">
        <v>1622</v>
      </c>
      <c r="D63" s="14" t="s">
        <v>475</v>
      </c>
      <c r="E63" s="14" t="s">
        <v>860</v>
      </c>
      <c r="F63" s="14">
        <v>1</v>
      </c>
      <c r="G63" s="14">
        <v>2</v>
      </c>
      <c r="H63" s="12">
        <f>G63-F63</f>
        <v>1</v>
      </c>
      <c r="I63" s="14" t="s">
        <v>2518</v>
      </c>
      <c r="J63" s="14" t="s">
        <v>2519</v>
      </c>
      <c r="K63" s="14" t="s">
        <v>2520</v>
      </c>
    </row>
    <row r="64" spans="1:11" ht="45" customHeight="1">
      <c r="A64" s="13" t="s">
        <v>2580</v>
      </c>
      <c r="B64" s="13" t="s">
        <v>318</v>
      </c>
      <c r="C64" s="13" t="s">
        <v>1631</v>
      </c>
      <c r="D64" s="13" t="s">
        <v>475</v>
      </c>
      <c r="E64" s="13" t="s">
        <v>833</v>
      </c>
      <c r="F64" s="13">
        <v>2</v>
      </c>
      <c r="G64" s="13">
        <v>2</v>
      </c>
      <c r="H64" s="11">
        <f>G64-F64</f>
        <v>0</v>
      </c>
      <c r="I64" s="13" t="s">
        <v>2518</v>
      </c>
      <c r="J64" s="13" t="s">
        <v>2519</v>
      </c>
      <c r="K64" s="13" t="s">
        <v>2520</v>
      </c>
    </row>
    <row r="65" spans="1:11" ht="45" customHeight="1">
      <c r="A65" s="14" t="s">
        <v>2581</v>
      </c>
      <c r="B65" s="14" t="s">
        <v>318</v>
      </c>
      <c r="C65" s="14" t="s">
        <v>1631</v>
      </c>
      <c r="D65" s="14" t="s">
        <v>475</v>
      </c>
      <c r="E65" s="14" t="s">
        <v>836</v>
      </c>
      <c r="F65" s="14">
        <v>1</v>
      </c>
      <c r="G65" s="14">
        <v>1</v>
      </c>
      <c r="H65" s="12">
        <f>G65-F65</f>
        <v>0</v>
      </c>
      <c r="I65" s="14" t="s">
        <v>2518</v>
      </c>
      <c r="J65" s="14" t="s">
        <v>2519</v>
      </c>
      <c r="K65" s="14" t="s">
        <v>2520</v>
      </c>
    </row>
    <row r="66" spans="1:11" ht="45" customHeight="1">
      <c r="A66" s="13" t="s">
        <v>2582</v>
      </c>
      <c r="B66" s="13" t="s">
        <v>318</v>
      </c>
      <c r="C66" s="13" t="s">
        <v>1631</v>
      </c>
      <c r="D66" s="13" t="s">
        <v>475</v>
      </c>
      <c r="E66" s="13" t="s">
        <v>842</v>
      </c>
      <c r="F66" s="13">
        <v>2</v>
      </c>
      <c r="G66" s="13">
        <v>2</v>
      </c>
      <c r="H66" s="11">
        <f>G66-F66</f>
        <v>0</v>
      </c>
      <c r="I66" s="13" t="s">
        <v>2518</v>
      </c>
      <c r="J66" s="13" t="s">
        <v>2519</v>
      </c>
      <c r="K66" s="13" t="s">
        <v>2520</v>
      </c>
    </row>
    <row r="67" spans="1:11" ht="45" customHeight="1">
      <c r="A67" s="14" t="s">
        <v>2583</v>
      </c>
      <c r="B67" s="14" t="s">
        <v>318</v>
      </c>
      <c r="C67" s="14" t="s">
        <v>1631</v>
      </c>
      <c r="D67" s="14" t="s">
        <v>475</v>
      </c>
      <c r="E67" s="14" t="s">
        <v>866</v>
      </c>
      <c r="F67" s="14">
        <v>2</v>
      </c>
      <c r="G67" s="14">
        <v>2</v>
      </c>
      <c r="H67" s="12">
        <f>G67-F67</f>
        <v>0</v>
      </c>
      <c r="I67" s="14" t="s">
        <v>2518</v>
      </c>
      <c r="J67" s="14" t="s">
        <v>2519</v>
      </c>
      <c r="K67" s="14" t="s">
        <v>2520</v>
      </c>
    </row>
    <row r="68" spans="1:11" ht="45" customHeight="1">
      <c r="A68" s="13" t="s">
        <v>2584</v>
      </c>
      <c r="B68" s="13" t="s">
        <v>318</v>
      </c>
      <c r="C68" s="13" t="s">
        <v>1631</v>
      </c>
      <c r="D68" s="13" t="s">
        <v>475</v>
      </c>
      <c r="E68" s="13" t="s">
        <v>869</v>
      </c>
      <c r="F68" s="13">
        <v>3</v>
      </c>
      <c r="G68" s="13">
        <v>3</v>
      </c>
      <c r="H68" s="11">
        <f>G68-F68</f>
        <v>0</v>
      </c>
      <c r="I68" s="13" t="s">
        <v>2518</v>
      </c>
      <c r="J68" s="13" t="s">
        <v>2519</v>
      </c>
      <c r="K68" s="13" t="s">
        <v>2520</v>
      </c>
    </row>
    <row r="69" spans="1:11" ht="45" customHeight="1">
      <c r="A69" s="14" t="s">
        <v>2585</v>
      </c>
      <c r="B69" s="14" t="s">
        <v>318</v>
      </c>
      <c r="C69" s="14" t="s">
        <v>1631</v>
      </c>
      <c r="D69" s="14" t="s">
        <v>475</v>
      </c>
      <c r="E69" s="14" t="s">
        <v>848</v>
      </c>
      <c r="F69" s="14">
        <v>2</v>
      </c>
      <c r="G69" s="14">
        <v>2</v>
      </c>
      <c r="H69" s="12">
        <f>G69-F69</f>
        <v>0</v>
      </c>
      <c r="I69" s="14" t="s">
        <v>2518</v>
      </c>
      <c r="J69" s="14" t="s">
        <v>2519</v>
      </c>
      <c r="K69" s="14" t="s">
        <v>2520</v>
      </c>
    </row>
    <row r="70" spans="1:11" ht="45" customHeight="1">
      <c r="A70" s="13" t="s">
        <v>2586</v>
      </c>
      <c r="B70" s="13" t="s">
        <v>318</v>
      </c>
      <c r="C70" s="13" t="s">
        <v>1631</v>
      </c>
      <c r="D70" s="13" t="s">
        <v>475</v>
      </c>
      <c r="E70" s="13" t="s">
        <v>851</v>
      </c>
      <c r="F70" s="13">
        <v>3</v>
      </c>
      <c r="G70" s="13">
        <v>3</v>
      </c>
      <c r="H70" s="11">
        <f>G70-F70</f>
        <v>0</v>
      </c>
      <c r="I70" s="13" t="s">
        <v>2518</v>
      </c>
      <c r="J70" s="13" t="s">
        <v>2519</v>
      </c>
      <c r="K70" s="13" t="s">
        <v>2520</v>
      </c>
    </row>
    <row r="71" spans="1:11" ht="45" customHeight="1">
      <c r="A71" s="14" t="s">
        <v>2587</v>
      </c>
      <c r="B71" s="14" t="s">
        <v>318</v>
      </c>
      <c r="C71" s="14" t="s">
        <v>1631</v>
      </c>
      <c r="D71" s="14" t="s">
        <v>475</v>
      </c>
      <c r="E71" s="14" t="s">
        <v>854</v>
      </c>
      <c r="F71" s="14">
        <v>1</v>
      </c>
      <c r="G71" s="14">
        <v>2</v>
      </c>
      <c r="H71" s="12">
        <f>G71-F71</f>
        <v>1</v>
      </c>
      <c r="I71" s="14" t="s">
        <v>2518</v>
      </c>
      <c r="J71" s="14" t="s">
        <v>2519</v>
      </c>
      <c r="K71" s="14" t="s">
        <v>2520</v>
      </c>
    </row>
    <row r="72" spans="1:11" ht="45" customHeight="1">
      <c r="A72" s="13" t="s">
        <v>2588</v>
      </c>
      <c r="B72" s="13" t="s">
        <v>318</v>
      </c>
      <c r="C72" s="13" t="s">
        <v>1631</v>
      </c>
      <c r="D72" s="13" t="s">
        <v>475</v>
      </c>
      <c r="E72" s="13" t="s">
        <v>857</v>
      </c>
      <c r="F72" s="13">
        <v>1</v>
      </c>
      <c r="G72" s="13">
        <v>2</v>
      </c>
      <c r="H72" s="11">
        <f>G72-F72</f>
        <v>1</v>
      </c>
      <c r="I72" s="13" t="s">
        <v>2518</v>
      </c>
      <c r="J72" s="13" t="s">
        <v>2519</v>
      </c>
      <c r="K72" s="13" t="s">
        <v>2520</v>
      </c>
    </row>
    <row r="73" spans="1:11" ht="45" customHeight="1">
      <c r="A73" s="14" t="s">
        <v>2589</v>
      </c>
      <c r="B73" s="14" t="s">
        <v>318</v>
      </c>
      <c r="C73" s="14" t="s">
        <v>1631</v>
      </c>
      <c r="D73" s="14" t="s">
        <v>475</v>
      </c>
      <c r="E73" s="14" t="s">
        <v>860</v>
      </c>
      <c r="F73" s="14">
        <v>1</v>
      </c>
      <c r="G73" s="14">
        <v>1</v>
      </c>
      <c r="H73" s="12">
        <f>G73-F73</f>
        <v>0</v>
      </c>
      <c r="I73" s="14" t="s">
        <v>2518</v>
      </c>
      <c r="J73" s="14" t="s">
        <v>2519</v>
      </c>
      <c r="K73" s="14" t="s">
        <v>2520</v>
      </c>
    </row>
    <row r="74" spans="1:11" ht="45" customHeight="1">
      <c r="A74" s="13" t="s">
        <v>2590</v>
      </c>
      <c r="B74" s="13" t="s">
        <v>318</v>
      </c>
      <c r="C74" s="13" t="s">
        <v>1633</v>
      </c>
      <c r="D74" s="13" t="s">
        <v>481</v>
      </c>
      <c r="E74" s="13" t="s">
        <v>563</v>
      </c>
      <c r="F74" s="13">
        <v>2</v>
      </c>
      <c r="G74" s="13">
        <v>2</v>
      </c>
      <c r="H74" s="11">
        <f>G74-F74</f>
        <v>0</v>
      </c>
      <c r="I74" s="13" t="s">
        <v>2518</v>
      </c>
      <c r="J74" s="13" t="s">
        <v>2519</v>
      </c>
      <c r="K74" s="13" t="s">
        <v>2520</v>
      </c>
    </row>
    <row r="75" spans="1:11" ht="45" customHeight="1">
      <c r="A75" s="14" t="s">
        <v>2591</v>
      </c>
      <c r="B75" s="14" t="s">
        <v>318</v>
      </c>
      <c r="C75" s="14" t="s">
        <v>1633</v>
      </c>
      <c r="D75" s="14" t="s">
        <v>481</v>
      </c>
      <c r="E75" s="14" t="s">
        <v>572</v>
      </c>
      <c r="F75" s="14">
        <v>2</v>
      </c>
      <c r="G75" s="14">
        <v>3</v>
      </c>
      <c r="H75" s="12">
        <f>G75-F75</f>
        <v>1</v>
      </c>
      <c r="I75" s="14" t="s">
        <v>2518</v>
      </c>
      <c r="J75" s="14" t="s">
        <v>2519</v>
      </c>
      <c r="K75" s="14" t="s">
        <v>2520</v>
      </c>
    </row>
    <row r="76" spans="1:11" ht="45" customHeight="1">
      <c r="A76" s="13" t="s">
        <v>2592</v>
      </c>
      <c r="B76" s="13" t="s">
        <v>318</v>
      </c>
      <c r="C76" s="13" t="s">
        <v>1633</v>
      </c>
      <c r="D76" s="13" t="s">
        <v>481</v>
      </c>
      <c r="E76" s="13" t="s">
        <v>579</v>
      </c>
      <c r="F76" s="13">
        <v>1</v>
      </c>
      <c r="G76" s="13">
        <v>2</v>
      </c>
      <c r="H76" s="11">
        <f>G76-F76</f>
        <v>1</v>
      </c>
      <c r="I76" s="13" t="s">
        <v>2518</v>
      </c>
      <c r="J76" s="13" t="s">
        <v>2519</v>
      </c>
      <c r="K76" s="13" t="s">
        <v>2520</v>
      </c>
    </row>
    <row r="77" spans="1:11" ht="45" customHeight="1">
      <c r="A77" s="14" t="s">
        <v>2593</v>
      </c>
      <c r="B77" s="14" t="s">
        <v>318</v>
      </c>
      <c r="C77" s="14" t="s">
        <v>1633</v>
      </c>
      <c r="D77" s="14" t="s">
        <v>481</v>
      </c>
      <c r="E77" s="14" t="s">
        <v>586</v>
      </c>
      <c r="F77" s="14">
        <v>1</v>
      </c>
      <c r="G77" s="14">
        <v>2</v>
      </c>
      <c r="H77" s="12">
        <f>G77-F77</f>
        <v>1</v>
      </c>
      <c r="I77" s="14" t="s">
        <v>2518</v>
      </c>
      <c r="J77" s="14" t="s">
        <v>2519</v>
      </c>
      <c r="K77" s="14" t="s">
        <v>2520</v>
      </c>
    </row>
    <row r="78" spans="1:11" ht="45" customHeight="1">
      <c r="A78" s="13" t="s">
        <v>2594</v>
      </c>
      <c r="B78" s="13" t="s">
        <v>318</v>
      </c>
      <c r="C78" s="13" t="s">
        <v>1633</v>
      </c>
      <c r="D78" s="13" t="s">
        <v>481</v>
      </c>
      <c r="E78" s="13" t="s">
        <v>600</v>
      </c>
      <c r="F78" s="13">
        <v>3</v>
      </c>
      <c r="G78" s="13">
        <v>3</v>
      </c>
      <c r="H78" s="11">
        <f>G78-F78</f>
        <v>0</v>
      </c>
      <c r="I78" s="13" t="s">
        <v>2518</v>
      </c>
      <c r="J78" s="13" t="s">
        <v>2519</v>
      </c>
      <c r="K78" s="13" t="s">
        <v>2520</v>
      </c>
    </row>
    <row r="79" spans="1:11" ht="45" customHeight="1">
      <c r="A79" s="14" t="s">
        <v>2595</v>
      </c>
      <c r="B79" s="14" t="s">
        <v>318</v>
      </c>
      <c r="C79" s="14" t="s">
        <v>1633</v>
      </c>
      <c r="D79" s="14" t="s">
        <v>481</v>
      </c>
      <c r="E79" s="14" t="s">
        <v>607</v>
      </c>
      <c r="F79" s="14">
        <v>2</v>
      </c>
      <c r="G79" s="14">
        <v>3</v>
      </c>
      <c r="H79" s="12">
        <f>G79-F79</f>
        <v>1</v>
      </c>
      <c r="I79" s="14" t="s">
        <v>2518</v>
      </c>
      <c r="J79" s="14" t="s">
        <v>2519</v>
      </c>
      <c r="K79" s="14" t="s">
        <v>2520</v>
      </c>
    </row>
    <row r="80" spans="1:11" ht="45" customHeight="1">
      <c r="A80" s="13" t="s">
        <v>2596</v>
      </c>
      <c r="B80" s="13" t="s">
        <v>318</v>
      </c>
      <c r="C80" s="13" t="s">
        <v>1633</v>
      </c>
      <c r="D80" s="13" t="s">
        <v>481</v>
      </c>
      <c r="E80" s="13" t="s">
        <v>614</v>
      </c>
      <c r="F80" s="13">
        <v>2</v>
      </c>
      <c r="G80" s="13">
        <v>3</v>
      </c>
      <c r="H80" s="11">
        <f>G80-F80</f>
        <v>1</v>
      </c>
      <c r="I80" s="13" t="s">
        <v>2518</v>
      </c>
      <c r="J80" s="13" t="s">
        <v>2519</v>
      </c>
      <c r="K80" s="13" t="s">
        <v>2520</v>
      </c>
    </row>
    <row r="81" spans="1:11" ht="45" customHeight="1">
      <c r="A81" s="14" t="s">
        <v>2597</v>
      </c>
      <c r="B81" s="14" t="s">
        <v>318</v>
      </c>
      <c r="C81" s="14" t="s">
        <v>1633</v>
      </c>
      <c r="D81" s="14" t="s">
        <v>481</v>
      </c>
      <c r="E81" s="14" t="s">
        <v>621</v>
      </c>
      <c r="F81" s="14">
        <v>3</v>
      </c>
      <c r="G81" s="14">
        <v>3</v>
      </c>
      <c r="H81" s="12">
        <f>G81-F81</f>
        <v>0</v>
      </c>
      <c r="I81" s="14" t="s">
        <v>2518</v>
      </c>
      <c r="J81" s="14" t="s">
        <v>2519</v>
      </c>
      <c r="K81" s="14" t="s">
        <v>2520</v>
      </c>
    </row>
    <row r="82" spans="1:11" ht="45" customHeight="1">
      <c r="A82" s="13" t="s">
        <v>2598</v>
      </c>
      <c r="B82" s="13" t="s">
        <v>318</v>
      </c>
      <c r="C82" s="13" t="s">
        <v>1633</v>
      </c>
      <c r="D82" s="13" t="s">
        <v>481</v>
      </c>
      <c r="E82" s="13" t="s">
        <v>628</v>
      </c>
      <c r="F82" s="13">
        <v>3</v>
      </c>
      <c r="G82" s="13">
        <v>3</v>
      </c>
      <c r="H82" s="11">
        <f>G82-F82</f>
        <v>0</v>
      </c>
      <c r="I82" s="13" t="s">
        <v>2518</v>
      </c>
      <c r="J82" s="13" t="s">
        <v>2519</v>
      </c>
      <c r="K82" s="13" t="s">
        <v>2520</v>
      </c>
    </row>
    <row r="83" spans="1:11" ht="45" customHeight="1">
      <c r="A83" s="14" t="s">
        <v>2599</v>
      </c>
      <c r="B83" s="14" t="s">
        <v>318</v>
      </c>
      <c r="C83" s="14" t="s">
        <v>1633</v>
      </c>
      <c r="D83" s="14" t="s">
        <v>481</v>
      </c>
      <c r="E83" s="14" t="s">
        <v>636</v>
      </c>
      <c r="F83" s="14">
        <v>1</v>
      </c>
      <c r="G83" s="14">
        <v>2</v>
      </c>
      <c r="H83" s="12">
        <f>G83-F83</f>
        <v>1</v>
      </c>
      <c r="I83" s="14" t="s">
        <v>2518</v>
      </c>
      <c r="J83" s="14" t="s">
        <v>2519</v>
      </c>
      <c r="K83" s="14" t="s">
        <v>2520</v>
      </c>
    </row>
    <row r="84" spans="1:11" ht="45" customHeight="1">
      <c r="A84" s="13" t="s">
        <v>2600</v>
      </c>
      <c r="B84" s="13" t="s">
        <v>318</v>
      </c>
      <c r="C84" s="13" t="s">
        <v>1639</v>
      </c>
      <c r="D84" s="13" t="s">
        <v>481</v>
      </c>
      <c r="E84" s="13" t="s">
        <v>563</v>
      </c>
      <c r="F84" s="13">
        <v>3</v>
      </c>
      <c r="G84" s="13">
        <v>3</v>
      </c>
      <c r="H84" s="11">
        <f>G84-F84</f>
        <v>0</v>
      </c>
      <c r="I84" s="13" t="s">
        <v>2518</v>
      </c>
      <c r="J84" s="13" t="s">
        <v>2519</v>
      </c>
      <c r="K84" s="13" t="s">
        <v>2520</v>
      </c>
    </row>
    <row r="85" spans="1:11" ht="45" customHeight="1">
      <c r="A85" s="14" t="s">
        <v>2601</v>
      </c>
      <c r="B85" s="14" t="s">
        <v>318</v>
      </c>
      <c r="C85" s="14" t="s">
        <v>1639</v>
      </c>
      <c r="D85" s="14" t="s">
        <v>481</v>
      </c>
      <c r="E85" s="14" t="s">
        <v>572</v>
      </c>
      <c r="F85" s="14">
        <v>2</v>
      </c>
      <c r="G85" s="14">
        <v>2</v>
      </c>
      <c r="H85" s="12">
        <f>G85-F85</f>
        <v>0</v>
      </c>
      <c r="I85" s="14" t="s">
        <v>2518</v>
      </c>
      <c r="J85" s="14" t="s">
        <v>2519</v>
      </c>
      <c r="K85" s="14" t="s">
        <v>2520</v>
      </c>
    </row>
    <row r="86" spans="1:11" ht="45" customHeight="1">
      <c r="A86" s="13" t="s">
        <v>2602</v>
      </c>
      <c r="B86" s="13" t="s">
        <v>318</v>
      </c>
      <c r="C86" s="13" t="s">
        <v>1639</v>
      </c>
      <c r="D86" s="13" t="s">
        <v>481</v>
      </c>
      <c r="E86" s="13" t="s">
        <v>579</v>
      </c>
      <c r="F86" s="13">
        <v>3</v>
      </c>
      <c r="G86" s="13">
        <v>3</v>
      </c>
      <c r="H86" s="11">
        <f>G86-F86</f>
        <v>0</v>
      </c>
      <c r="I86" s="13" t="s">
        <v>2518</v>
      </c>
      <c r="J86" s="13" t="s">
        <v>2519</v>
      </c>
      <c r="K86" s="13" t="s">
        <v>2520</v>
      </c>
    </row>
    <row r="87" spans="1:11" ht="45" customHeight="1">
      <c r="A87" s="14" t="s">
        <v>2603</v>
      </c>
      <c r="B87" s="14" t="s">
        <v>318</v>
      </c>
      <c r="C87" s="14" t="s">
        <v>1639</v>
      </c>
      <c r="D87" s="14" t="s">
        <v>481</v>
      </c>
      <c r="E87" s="14" t="s">
        <v>586</v>
      </c>
      <c r="F87" s="14">
        <v>1</v>
      </c>
      <c r="G87" s="14">
        <v>1</v>
      </c>
      <c r="H87" s="12">
        <f>G87-F87</f>
        <v>0</v>
      </c>
      <c r="I87" s="14" t="s">
        <v>2518</v>
      </c>
      <c r="J87" s="14" t="s">
        <v>2519</v>
      </c>
      <c r="K87" s="14" t="s">
        <v>2520</v>
      </c>
    </row>
    <row r="88" spans="1:11" ht="45" customHeight="1">
      <c r="A88" s="13" t="s">
        <v>2604</v>
      </c>
      <c r="B88" s="13" t="s">
        <v>318</v>
      </c>
      <c r="C88" s="13" t="s">
        <v>1639</v>
      </c>
      <c r="D88" s="13" t="s">
        <v>481</v>
      </c>
      <c r="E88" s="13" t="s">
        <v>600</v>
      </c>
      <c r="F88" s="13">
        <v>2</v>
      </c>
      <c r="G88" s="13">
        <v>2</v>
      </c>
      <c r="H88" s="11">
        <f>G88-F88</f>
        <v>0</v>
      </c>
      <c r="I88" s="13" t="s">
        <v>2518</v>
      </c>
      <c r="J88" s="13" t="s">
        <v>2519</v>
      </c>
      <c r="K88" s="13" t="s">
        <v>2520</v>
      </c>
    </row>
    <row r="89" spans="1:11" ht="45" customHeight="1">
      <c r="A89" s="14" t="s">
        <v>2605</v>
      </c>
      <c r="B89" s="14" t="s">
        <v>318</v>
      </c>
      <c r="C89" s="14" t="s">
        <v>1639</v>
      </c>
      <c r="D89" s="14" t="s">
        <v>481</v>
      </c>
      <c r="E89" s="14" t="s">
        <v>607</v>
      </c>
      <c r="F89" s="14">
        <v>1</v>
      </c>
      <c r="G89" s="14">
        <v>2</v>
      </c>
      <c r="H89" s="12">
        <f>G89-F89</f>
        <v>1</v>
      </c>
      <c r="I89" s="14" t="s">
        <v>2518</v>
      </c>
      <c r="J89" s="14" t="s">
        <v>2519</v>
      </c>
      <c r="K89" s="14" t="s">
        <v>2520</v>
      </c>
    </row>
    <row r="90" spans="1:11" ht="45" customHeight="1">
      <c r="A90" s="13" t="s">
        <v>2606</v>
      </c>
      <c r="B90" s="13" t="s">
        <v>318</v>
      </c>
      <c r="C90" s="13" t="s">
        <v>1639</v>
      </c>
      <c r="D90" s="13" t="s">
        <v>481</v>
      </c>
      <c r="E90" s="13" t="s">
        <v>614</v>
      </c>
      <c r="F90" s="13">
        <v>1</v>
      </c>
      <c r="G90" s="13">
        <v>2</v>
      </c>
      <c r="H90" s="11">
        <f>G90-F90</f>
        <v>1</v>
      </c>
      <c r="I90" s="13" t="s">
        <v>2518</v>
      </c>
      <c r="J90" s="13" t="s">
        <v>2519</v>
      </c>
      <c r="K90" s="13" t="s">
        <v>2520</v>
      </c>
    </row>
    <row r="91" spans="1:11" ht="45" customHeight="1">
      <c r="A91" s="14" t="s">
        <v>2607</v>
      </c>
      <c r="B91" s="14" t="s">
        <v>318</v>
      </c>
      <c r="C91" s="14" t="s">
        <v>1639</v>
      </c>
      <c r="D91" s="14" t="s">
        <v>481</v>
      </c>
      <c r="E91" s="14" t="s">
        <v>621</v>
      </c>
      <c r="F91" s="14">
        <v>3</v>
      </c>
      <c r="G91" s="14">
        <v>3</v>
      </c>
      <c r="H91" s="12">
        <f>G91-F91</f>
        <v>0</v>
      </c>
      <c r="I91" s="14" t="s">
        <v>2518</v>
      </c>
      <c r="J91" s="14" t="s">
        <v>2519</v>
      </c>
      <c r="K91" s="14" t="s">
        <v>2520</v>
      </c>
    </row>
    <row r="92" spans="1:11" ht="45" customHeight="1">
      <c r="A92" s="13" t="s">
        <v>2608</v>
      </c>
      <c r="B92" s="13" t="s">
        <v>318</v>
      </c>
      <c r="C92" s="13" t="s">
        <v>1639</v>
      </c>
      <c r="D92" s="13" t="s">
        <v>481</v>
      </c>
      <c r="E92" s="13" t="s">
        <v>628</v>
      </c>
      <c r="F92" s="13">
        <v>1</v>
      </c>
      <c r="G92" s="13">
        <v>2</v>
      </c>
      <c r="H92" s="11">
        <f>G92-F92</f>
        <v>1</v>
      </c>
      <c r="I92" s="13" t="s">
        <v>2518</v>
      </c>
      <c r="J92" s="13" t="s">
        <v>2519</v>
      </c>
      <c r="K92" s="13" t="s">
        <v>2520</v>
      </c>
    </row>
    <row r="93" spans="1:11" ht="45" customHeight="1">
      <c r="A93" s="14" t="s">
        <v>2609</v>
      </c>
      <c r="B93" s="14" t="s">
        <v>318</v>
      </c>
      <c r="C93" s="14" t="s">
        <v>1639</v>
      </c>
      <c r="D93" s="14" t="s">
        <v>481</v>
      </c>
      <c r="E93" s="14" t="s">
        <v>636</v>
      </c>
      <c r="F93" s="14">
        <v>1</v>
      </c>
      <c r="G93" s="14">
        <v>2</v>
      </c>
      <c r="H93" s="12">
        <f>G93-F93</f>
        <v>1</v>
      </c>
      <c r="I93" s="14" t="s">
        <v>2518</v>
      </c>
      <c r="J93" s="14" t="s">
        <v>2519</v>
      </c>
      <c r="K93" s="14" t="s">
        <v>2520</v>
      </c>
    </row>
    <row r="94" spans="1:11" ht="45" customHeight="1">
      <c r="A94" s="13" t="s">
        <v>2610</v>
      </c>
      <c r="B94" s="13" t="s">
        <v>318</v>
      </c>
      <c r="C94" s="13" t="s">
        <v>1643</v>
      </c>
      <c r="D94" s="13" t="s">
        <v>481</v>
      </c>
      <c r="E94" s="13" t="s">
        <v>563</v>
      </c>
      <c r="F94" s="13">
        <v>3</v>
      </c>
      <c r="G94" s="13">
        <v>3</v>
      </c>
      <c r="H94" s="11">
        <f>G94-F94</f>
        <v>0</v>
      </c>
      <c r="I94" s="13" t="s">
        <v>2518</v>
      </c>
      <c r="J94" s="13" t="s">
        <v>2519</v>
      </c>
      <c r="K94" s="13" t="s">
        <v>2520</v>
      </c>
    </row>
    <row r="95" spans="1:11" ht="45" customHeight="1">
      <c r="A95" s="14" t="s">
        <v>2611</v>
      </c>
      <c r="B95" s="14" t="s">
        <v>318</v>
      </c>
      <c r="C95" s="14" t="s">
        <v>1643</v>
      </c>
      <c r="D95" s="14" t="s">
        <v>481</v>
      </c>
      <c r="E95" s="14" t="s">
        <v>572</v>
      </c>
      <c r="F95" s="14">
        <v>3</v>
      </c>
      <c r="G95" s="14">
        <v>3</v>
      </c>
      <c r="H95" s="12">
        <f>G95-F95</f>
        <v>0</v>
      </c>
      <c r="I95" s="14" t="s">
        <v>2518</v>
      </c>
      <c r="J95" s="14" t="s">
        <v>2519</v>
      </c>
      <c r="K95" s="14" t="s">
        <v>2520</v>
      </c>
    </row>
    <row r="96" spans="1:11" ht="45" customHeight="1">
      <c r="A96" s="13" t="s">
        <v>2612</v>
      </c>
      <c r="B96" s="13" t="s">
        <v>318</v>
      </c>
      <c r="C96" s="13" t="s">
        <v>1643</v>
      </c>
      <c r="D96" s="13" t="s">
        <v>481</v>
      </c>
      <c r="E96" s="13" t="s">
        <v>579</v>
      </c>
      <c r="F96" s="13">
        <v>2</v>
      </c>
      <c r="G96" s="13">
        <v>2</v>
      </c>
      <c r="H96" s="11">
        <f>G96-F96</f>
        <v>0</v>
      </c>
      <c r="I96" s="13" t="s">
        <v>2518</v>
      </c>
      <c r="J96" s="13" t="s">
        <v>2519</v>
      </c>
      <c r="K96" s="13" t="s">
        <v>2520</v>
      </c>
    </row>
    <row r="97" spans="1:11" ht="45" customHeight="1">
      <c r="A97" s="14" t="s">
        <v>2613</v>
      </c>
      <c r="B97" s="14" t="s">
        <v>318</v>
      </c>
      <c r="C97" s="14" t="s">
        <v>1643</v>
      </c>
      <c r="D97" s="14" t="s">
        <v>481</v>
      </c>
      <c r="E97" s="14" t="s">
        <v>586</v>
      </c>
      <c r="F97" s="14">
        <v>2</v>
      </c>
      <c r="G97" s="14">
        <v>2</v>
      </c>
      <c r="H97" s="12">
        <f>G97-F97</f>
        <v>0</v>
      </c>
      <c r="I97" s="14" t="s">
        <v>2518</v>
      </c>
      <c r="J97" s="14" t="s">
        <v>2519</v>
      </c>
      <c r="K97" s="14" t="s">
        <v>2520</v>
      </c>
    </row>
    <row r="98" spans="1:11" ht="45" customHeight="1">
      <c r="A98" s="13" t="s">
        <v>2614</v>
      </c>
      <c r="B98" s="13" t="s">
        <v>318</v>
      </c>
      <c r="C98" s="13" t="s">
        <v>1643</v>
      </c>
      <c r="D98" s="13" t="s">
        <v>481</v>
      </c>
      <c r="E98" s="13" t="s">
        <v>600</v>
      </c>
      <c r="F98" s="13">
        <v>3</v>
      </c>
      <c r="G98" s="13">
        <v>3</v>
      </c>
      <c r="H98" s="11">
        <f>G98-F98</f>
        <v>0</v>
      </c>
      <c r="I98" s="13" t="s">
        <v>2518</v>
      </c>
      <c r="J98" s="13" t="s">
        <v>2519</v>
      </c>
      <c r="K98" s="13" t="s">
        <v>2520</v>
      </c>
    </row>
    <row r="99" spans="1:11" ht="45" customHeight="1">
      <c r="A99" s="14" t="s">
        <v>2615</v>
      </c>
      <c r="B99" s="14" t="s">
        <v>318</v>
      </c>
      <c r="C99" s="14" t="s">
        <v>1643</v>
      </c>
      <c r="D99" s="14" t="s">
        <v>481</v>
      </c>
      <c r="E99" s="14" t="s">
        <v>607</v>
      </c>
      <c r="F99" s="14">
        <v>1</v>
      </c>
      <c r="G99" s="14">
        <v>2</v>
      </c>
      <c r="H99" s="12">
        <f>G99-F99</f>
        <v>1</v>
      </c>
      <c r="I99" s="14" t="s">
        <v>2518</v>
      </c>
      <c r="J99" s="14" t="s">
        <v>2519</v>
      </c>
      <c r="K99" s="14" t="s">
        <v>2520</v>
      </c>
    </row>
    <row r="100" spans="1:11" ht="45" customHeight="1">
      <c r="A100" s="13" t="s">
        <v>2616</v>
      </c>
      <c r="B100" s="13" t="s">
        <v>318</v>
      </c>
      <c r="C100" s="13" t="s">
        <v>1643</v>
      </c>
      <c r="D100" s="13" t="s">
        <v>481</v>
      </c>
      <c r="E100" s="13" t="s">
        <v>614</v>
      </c>
      <c r="F100" s="13">
        <v>2</v>
      </c>
      <c r="G100" s="13">
        <v>2</v>
      </c>
      <c r="H100" s="11">
        <f>G100-F100</f>
        <v>0</v>
      </c>
      <c r="I100" s="13" t="s">
        <v>2518</v>
      </c>
      <c r="J100" s="13" t="s">
        <v>2519</v>
      </c>
      <c r="K100" s="13" t="s">
        <v>2520</v>
      </c>
    </row>
    <row r="101" spans="1:11" ht="45" customHeight="1">
      <c r="A101" s="14" t="s">
        <v>2617</v>
      </c>
      <c r="B101" s="14" t="s">
        <v>318</v>
      </c>
      <c r="C101" s="14" t="s">
        <v>1643</v>
      </c>
      <c r="D101" s="14" t="s">
        <v>481</v>
      </c>
      <c r="E101" s="14" t="s">
        <v>621</v>
      </c>
      <c r="F101" s="14">
        <v>1</v>
      </c>
      <c r="G101" s="14">
        <v>2</v>
      </c>
      <c r="H101" s="12">
        <f>G101-F101</f>
        <v>1</v>
      </c>
      <c r="I101" s="14" t="s">
        <v>2518</v>
      </c>
      <c r="J101" s="14" t="s">
        <v>2519</v>
      </c>
      <c r="K101" s="14" t="s">
        <v>2520</v>
      </c>
    </row>
    <row r="102" spans="1:11" ht="45" customHeight="1">
      <c r="A102" s="13" t="s">
        <v>2618</v>
      </c>
      <c r="B102" s="13" t="s">
        <v>318</v>
      </c>
      <c r="C102" s="13" t="s">
        <v>1643</v>
      </c>
      <c r="D102" s="13" t="s">
        <v>481</v>
      </c>
      <c r="E102" s="13" t="s">
        <v>628</v>
      </c>
      <c r="F102" s="13">
        <v>3</v>
      </c>
      <c r="G102" s="13">
        <v>3</v>
      </c>
      <c r="H102" s="11">
        <f>G102-F102</f>
        <v>0</v>
      </c>
      <c r="I102" s="13" t="s">
        <v>2518</v>
      </c>
      <c r="J102" s="13" t="s">
        <v>2519</v>
      </c>
      <c r="K102" s="13" t="s">
        <v>2520</v>
      </c>
    </row>
    <row r="103" spans="1:11" ht="45" customHeight="1">
      <c r="A103" s="14" t="s">
        <v>2619</v>
      </c>
      <c r="B103" s="14" t="s">
        <v>318</v>
      </c>
      <c r="C103" s="14" t="s">
        <v>1643</v>
      </c>
      <c r="D103" s="14" t="s">
        <v>481</v>
      </c>
      <c r="E103" s="14" t="s">
        <v>636</v>
      </c>
      <c r="F103" s="14">
        <v>2</v>
      </c>
      <c r="G103" s="14">
        <v>3</v>
      </c>
      <c r="H103" s="12">
        <f>G103-F103</f>
        <v>1</v>
      </c>
      <c r="I103" s="14" t="s">
        <v>2518</v>
      </c>
      <c r="J103" s="14" t="s">
        <v>2519</v>
      </c>
      <c r="K103" s="14" t="s">
        <v>2520</v>
      </c>
    </row>
    <row r="104" spans="1:11" ht="45" customHeight="1">
      <c r="A104" s="13" t="s">
        <v>2620</v>
      </c>
      <c r="B104" s="13" t="s">
        <v>318</v>
      </c>
      <c r="C104" s="13" t="s">
        <v>1645</v>
      </c>
      <c r="D104" s="13" t="s">
        <v>487</v>
      </c>
      <c r="E104" s="13" t="s">
        <v>563</v>
      </c>
      <c r="F104" s="13">
        <v>1</v>
      </c>
      <c r="G104" s="13">
        <v>1</v>
      </c>
      <c r="H104" s="11">
        <f>G104-F104</f>
        <v>0</v>
      </c>
      <c r="I104" s="13" t="s">
        <v>2518</v>
      </c>
      <c r="J104" s="13" t="s">
        <v>2519</v>
      </c>
      <c r="K104" s="13" t="s">
        <v>2520</v>
      </c>
    </row>
    <row r="105" spans="1:11" ht="45" customHeight="1">
      <c r="A105" s="14" t="s">
        <v>2621</v>
      </c>
      <c r="B105" s="14" t="s">
        <v>318</v>
      </c>
      <c r="C105" s="14" t="s">
        <v>1645</v>
      </c>
      <c r="D105" s="14" t="s">
        <v>487</v>
      </c>
      <c r="E105" s="14" t="s">
        <v>572</v>
      </c>
      <c r="F105" s="14">
        <v>2</v>
      </c>
      <c r="G105" s="14">
        <v>2</v>
      </c>
      <c r="H105" s="12">
        <f>G105-F105</f>
        <v>0</v>
      </c>
      <c r="I105" s="14" t="s">
        <v>2518</v>
      </c>
      <c r="J105" s="14" t="s">
        <v>2519</v>
      </c>
      <c r="K105" s="14" t="s">
        <v>2520</v>
      </c>
    </row>
    <row r="106" spans="1:11" ht="45" customHeight="1">
      <c r="A106" s="13" t="s">
        <v>2622</v>
      </c>
      <c r="B106" s="13" t="s">
        <v>318</v>
      </c>
      <c r="C106" s="13" t="s">
        <v>1645</v>
      </c>
      <c r="D106" s="13" t="s">
        <v>487</v>
      </c>
      <c r="E106" s="13" t="s">
        <v>579</v>
      </c>
      <c r="F106" s="13">
        <v>2</v>
      </c>
      <c r="G106" s="13">
        <v>2</v>
      </c>
      <c r="H106" s="11">
        <f>G106-F106</f>
        <v>0</v>
      </c>
      <c r="I106" s="13" t="s">
        <v>2518</v>
      </c>
      <c r="J106" s="13" t="s">
        <v>2519</v>
      </c>
      <c r="K106" s="13" t="s">
        <v>2520</v>
      </c>
    </row>
    <row r="107" spans="1:11" ht="45" customHeight="1">
      <c r="A107" s="14" t="s">
        <v>2623</v>
      </c>
      <c r="B107" s="14" t="s">
        <v>318</v>
      </c>
      <c r="C107" s="14" t="s">
        <v>1645</v>
      </c>
      <c r="D107" s="14" t="s">
        <v>487</v>
      </c>
      <c r="E107" s="14" t="s">
        <v>586</v>
      </c>
      <c r="F107" s="14">
        <v>1</v>
      </c>
      <c r="G107" s="14">
        <v>2</v>
      </c>
      <c r="H107" s="12">
        <f>G107-F107</f>
        <v>1</v>
      </c>
      <c r="I107" s="14" t="s">
        <v>2518</v>
      </c>
      <c r="J107" s="14" t="s">
        <v>2519</v>
      </c>
      <c r="K107" s="14" t="s">
        <v>2520</v>
      </c>
    </row>
    <row r="108" spans="1:11" ht="45" customHeight="1">
      <c r="A108" s="13" t="s">
        <v>2624</v>
      </c>
      <c r="B108" s="13" t="s">
        <v>318</v>
      </c>
      <c r="C108" s="13" t="s">
        <v>1645</v>
      </c>
      <c r="D108" s="13" t="s">
        <v>487</v>
      </c>
      <c r="E108" s="13" t="s">
        <v>600</v>
      </c>
      <c r="F108" s="13">
        <v>1</v>
      </c>
      <c r="G108" s="13">
        <v>2</v>
      </c>
      <c r="H108" s="11">
        <f>G108-F108</f>
        <v>1</v>
      </c>
      <c r="I108" s="13" t="s">
        <v>2518</v>
      </c>
      <c r="J108" s="13" t="s">
        <v>2519</v>
      </c>
      <c r="K108" s="13" t="s">
        <v>2520</v>
      </c>
    </row>
    <row r="109" spans="1:11" ht="45" customHeight="1">
      <c r="A109" s="14" t="s">
        <v>2625</v>
      </c>
      <c r="B109" s="14" t="s">
        <v>318</v>
      </c>
      <c r="C109" s="14" t="s">
        <v>1645</v>
      </c>
      <c r="D109" s="14" t="s">
        <v>487</v>
      </c>
      <c r="E109" s="14" t="s">
        <v>607</v>
      </c>
      <c r="F109" s="14">
        <v>2</v>
      </c>
      <c r="G109" s="14">
        <v>2</v>
      </c>
      <c r="H109" s="12">
        <f>G109-F109</f>
        <v>0</v>
      </c>
      <c r="I109" s="14" t="s">
        <v>2518</v>
      </c>
      <c r="J109" s="14" t="s">
        <v>2519</v>
      </c>
      <c r="K109" s="14" t="s">
        <v>2520</v>
      </c>
    </row>
    <row r="110" spans="1:11" ht="45" customHeight="1">
      <c r="A110" s="13" t="s">
        <v>2626</v>
      </c>
      <c r="B110" s="13" t="s">
        <v>318</v>
      </c>
      <c r="C110" s="13" t="s">
        <v>1645</v>
      </c>
      <c r="D110" s="13" t="s">
        <v>487</v>
      </c>
      <c r="E110" s="13" t="s">
        <v>614</v>
      </c>
      <c r="F110" s="13">
        <v>1</v>
      </c>
      <c r="G110" s="13">
        <v>2</v>
      </c>
      <c r="H110" s="11">
        <f>G110-F110</f>
        <v>1</v>
      </c>
      <c r="I110" s="13" t="s">
        <v>2518</v>
      </c>
      <c r="J110" s="13" t="s">
        <v>2519</v>
      </c>
      <c r="K110" s="13" t="s">
        <v>2520</v>
      </c>
    </row>
    <row r="111" spans="1:11" ht="45" customHeight="1">
      <c r="A111" s="14" t="s">
        <v>2627</v>
      </c>
      <c r="B111" s="14" t="s">
        <v>318</v>
      </c>
      <c r="C111" s="14" t="s">
        <v>1645</v>
      </c>
      <c r="D111" s="14" t="s">
        <v>487</v>
      </c>
      <c r="E111" s="14" t="s">
        <v>621</v>
      </c>
      <c r="F111" s="14">
        <v>3</v>
      </c>
      <c r="G111" s="14">
        <v>3</v>
      </c>
      <c r="H111" s="12">
        <f>G111-F111</f>
        <v>0</v>
      </c>
      <c r="I111" s="14" t="s">
        <v>2518</v>
      </c>
      <c r="J111" s="14" t="s">
        <v>2519</v>
      </c>
      <c r="K111" s="14" t="s">
        <v>2520</v>
      </c>
    </row>
    <row r="112" spans="1:11" ht="45" customHeight="1">
      <c r="A112" s="13" t="s">
        <v>2628</v>
      </c>
      <c r="B112" s="13" t="s">
        <v>318</v>
      </c>
      <c r="C112" s="13" t="s">
        <v>1645</v>
      </c>
      <c r="D112" s="13" t="s">
        <v>487</v>
      </c>
      <c r="E112" s="13" t="s">
        <v>628</v>
      </c>
      <c r="F112" s="13">
        <v>2</v>
      </c>
      <c r="G112" s="13">
        <v>2</v>
      </c>
      <c r="H112" s="11">
        <f>G112-F112</f>
        <v>0</v>
      </c>
      <c r="I112" s="13" t="s">
        <v>2518</v>
      </c>
      <c r="J112" s="13" t="s">
        <v>2519</v>
      </c>
      <c r="K112" s="13" t="s">
        <v>2520</v>
      </c>
    </row>
    <row r="113" spans="1:11" ht="45" customHeight="1">
      <c r="A113" s="14" t="s">
        <v>2629</v>
      </c>
      <c r="B113" s="14" t="s">
        <v>318</v>
      </c>
      <c r="C113" s="14" t="s">
        <v>1645</v>
      </c>
      <c r="D113" s="14" t="s">
        <v>487</v>
      </c>
      <c r="E113" s="14" t="s">
        <v>636</v>
      </c>
      <c r="F113" s="14">
        <v>2</v>
      </c>
      <c r="G113" s="14">
        <v>2</v>
      </c>
      <c r="H113" s="12">
        <f>G113-F113</f>
        <v>0</v>
      </c>
      <c r="I113" s="14" t="s">
        <v>2518</v>
      </c>
      <c r="J113" s="14" t="s">
        <v>2519</v>
      </c>
      <c r="K113" s="14" t="s">
        <v>2520</v>
      </c>
    </row>
    <row r="114" spans="1:11" ht="45" customHeight="1">
      <c r="A114" s="13" t="s">
        <v>2630</v>
      </c>
      <c r="B114" s="13" t="s">
        <v>318</v>
      </c>
      <c r="C114" s="13" t="s">
        <v>1650</v>
      </c>
      <c r="D114" s="13" t="s">
        <v>487</v>
      </c>
      <c r="E114" s="13" t="s">
        <v>563</v>
      </c>
      <c r="F114" s="13">
        <v>1</v>
      </c>
      <c r="G114" s="13">
        <v>2</v>
      </c>
      <c r="H114" s="11">
        <f>G114-F114</f>
        <v>1</v>
      </c>
      <c r="I114" s="13" t="s">
        <v>2518</v>
      </c>
      <c r="J114" s="13" t="s">
        <v>2519</v>
      </c>
      <c r="K114" s="13" t="s">
        <v>2520</v>
      </c>
    </row>
    <row r="115" spans="1:11" ht="45" customHeight="1">
      <c r="A115" s="14" t="s">
        <v>2631</v>
      </c>
      <c r="B115" s="14" t="s">
        <v>318</v>
      </c>
      <c r="C115" s="14" t="s">
        <v>1650</v>
      </c>
      <c r="D115" s="14" t="s">
        <v>487</v>
      </c>
      <c r="E115" s="14" t="s">
        <v>572</v>
      </c>
      <c r="F115" s="14">
        <v>3</v>
      </c>
      <c r="G115" s="14">
        <v>3</v>
      </c>
      <c r="H115" s="12">
        <f>G115-F115</f>
        <v>0</v>
      </c>
      <c r="I115" s="14" t="s">
        <v>2518</v>
      </c>
      <c r="J115" s="14" t="s">
        <v>2519</v>
      </c>
      <c r="K115" s="14" t="s">
        <v>2520</v>
      </c>
    </row>
    <row r="116" spans="1:11" ht="45" customHeight="1">
      <c r="A116" s="13" t="s">
        <v>2632</v>
      </c>
      <c r="B116" s="13" t="s">
        <v>318</v>
      </c>
      <c r="C116" s="13" t="s">
        <v>1650</v>
      </c>
      <c r="D116" s="13" t="s">
        <v>487</v>
      </c>
      <c r="E116" s="13" t="s">
        <v>579</v>
      </c>
      <c r="F116" s="13">
        <v>1</v>
      </c>
      <c r="G116" s="13">
        <v>2</v>
      </c>
      <c r="H116" s="11">
        <f>G116-F116</f>
        <v>1</v>
      </c>
      <c r="I116" s="13" t="s">
        <v>2518</v>
      </c>
      <c r="J116" s="13" t="s">
        <v>2519</v>
      </c>
      <c r="K116" s="13" t="s">
        <v>2520</v>
      </c>
    </row>
    <row r="117" spans="1:11" ht="45" customHeight="1">
      <c r="A117" s="14" t="s">
        <v>2633</v>
      </c>
      <c r="B117" s="14" t="s">
        <v>318</v>
      </c>
      <c r="C117" s="14" t="s">
        <v>1650</v>
      </c>
      <c r="D117" s="14" t="s">
        <v>487</v>
      </c>
      <c r="E117" s="14" t="s">
        <v>586</v>
      </c>
      <c r="F117" s="14">
        <v>2</v>
      </c>
      <c r="G117" s="14">
        <v>3</v>
      </c>
      <c r="H117" s="12">
        <f>G117-F117</f>
        <v>1</v>
      </c>
      <c r="I117" s="14" t="s">
        <v>2518</v>
      </c>
      <c r="J117" s="14" t="s">
        <v>2519</v>
      </c>
      <c r="K117" s="14" t="s">
        <v>2520</v>
      </c>
    </row>
    <row r="118" spans="1:11" ht="45" customHeight="1">
      <c r="A118" s="13" t="s">
        <v>2634</v>
      </c>
      <c r="B118" s="13" t="s">
        <v>318</v>
      </c>
      <c r="C118" s="13" t="s">
        <v>1650</v>
      </c>
      <c r="D118" s="13" t="s">
        <v>487</v>
      </c>
      <c r="E118" s="13" t="s">
        <v>600</v>
      </c>
      <c r="F118" s="13">
        <v>3</v>
      </c>
      <c r="G118" s="13">
        <v>3</v>
      </c>
      <c r="H118" s="11">
        <f>G118-F118</f>
        <v>0</v>
      </c>
      <c r="I118" s="13" t="s">
        <v>2518</v>
      </c>
      <c r="J118" s="13" t="s">
        <v>2519</v>
      </c>
      <c r="K118" s="13" t="s">
        <v>2520</v>
      </c>
    </row>
    <row r="119" spans="1:11" ht="45" customHeight="1">
      <c r="A119" s="14" t="s">
        <v>2635</v>
      </c>
      <c r="B119" s="14" t="s">
        <v>318</v>
      </c>
      <c r="C119" s="14" t="s">
        <v>1650</v>
      </c>
      <c r="D119" s="14" t="s">
        <v>487</v>
      </c>
      <c r="E119" s="14" t="s">
        <v>607</v>
      </c>
      <c r="F119" s="14">
        <v>3</v>
      </c>
      <c r="G119" s="14">
        <v>3</v>
      </c>
      <c r="H119" s="12">
        <f>G119-F119</f>
        <v>0</v>
      </c>
      <c r="I119" s="14" t="s">
        <v>2518</v>
      </c>
      <c r="J119" s="14" t="s">
        <v>2519</v>
      </c>
      <c r="K119" s="14" t="s">
        <v>2520</v>
      </c>
    </row>
    <row r="120" spans="1:11" ht="45" customHeight="1">
      <c r="A120" s="13" t="s">
        <v>2636</v>
      </c>
      <c r="B120" s="13" t="s">
        <v>318</v>
      </c>
      <c r="C120" s="13" t="s">
        <v>1650</v>
      </c>
      <c r="D120" s="13" t="s">
        <v>487</v>
      </c>
      <c r="E120" s="13" t="s">
        <v>614</v>
      </c>
      <c r="F120" s="13">
        <v>3</v>
      </c>
      <c r="G120" s="13">
        <v>3</v>
      </c>
      <c r="H120" s="11">
        <f>G120-F120</f>
        <v>0</v>
      </c>
      <c r="I120" s="13" t="s">
        <v>2518</v>
      </c>
      <c r="J120" s="13" t="s">
        <v>2519</v>
      </c>
      <c r="K120" s="13" t="s">
        <v>2520</v>
      </c>
    </row>
    <row r="121" spans="1:11" ht="45" customHeight="1">
      <c r="A121" s="14" t="s">
        <v>2637</v>
      </c>
      <c r="B121" s="14" t="s">
        <v>318</v>
      </c>
      <c r="C121" s="14" t="s">
        <v>1650</v>
      </c>
      <c r="D121" s="14" t="s">
        <v>487</v>
      </c>
      <c r="E121" s="14" t="s">
        <v>621</v>
      </c>
      <c r="F121" s="14">
        <v>2</v>
      </c>
      <c r="G121" s="14">
        <v>3</v>
      </c>
      <c r="H121" s="12">
        <f>G121-F121</f>
        <v>1</v>
      </c>
      <c r="I121" s="14" t="s">
        <v>2518</v>
      </c>
      <c r="J121" s="14" t="s">
        <v>2519</v>
      </c>
      <c r="K121" s="14" t="s">
        <v>2520</v>
      </c>
    </row>
    <row r="122" spans="1:11" ht="45" customHeight="1">
      <c r="A122" s="13" t="s">
        <v>2638</v>
      </c>
      <c r="B122" s="13" t="s">
        <v>318</v>
      </c>
      <c r="C122" s="13" t="s">
        <v>1650</v>
      </c>
      <c r="D122" s="13" t="s">
        <v>487</v>
      </c>
      <c r="E122" s="13" t="s">
        <v>628</v>
      </c>
      <c r="F122" s="13">
        <v>3</v>
      </c>
      <c r="G122" s="13">
        <v>3</v>
      </c>
      <c r="H122" s="11">
        <f>G122-F122</f>
        <v>0</v>
      </c>
      <c r="I122" s="13" t="s">
        <v>2518</v>
      </c>
      <c r="J122" s="13" t="s">
        <v>2519</v>
      </c>
      <c r="K122" s="13" t="s">
        <v>2520</v>
      </c>
    </row>
    <row r="123" spans="1:11" ht="45" customHeight="1">
      <c r="A123" s="14" t="s">
        <v>2639</v>
      </c>
      <c r="B123" s="14" t="s">
        <v>318</v>
      </c>
      <c r="C123" s="14" t="s">
        <v>1650</v>
      </c>
      <c r="D123" s="14" t="s">
        <v>487</v>
      </c>
      <c r="E123" s="14" t="s">
        <v>636</v>
      </c>
      <c r="F123" s="14">
        <v>3</v>
      </c>
      <c r="G123" s="14">
        <v>3</v>
      </c>
      <c r="H123" s="12">
        <f>G123-F123</f>
        <v>0</v>
      </c>
      <c r="I123" s="14" t="s">
        <v>2518</v>
      </c>
      <c r="J123" s="14" t="s">
        <v>2519</v>
      </c>
      <c r="K123" s="14" t="s">
        <v>2520</v>
      </c>
    </row>
    <row r="124" spans="1:11" ht="45" customHeight="1">
      <c r="A124" s="13" t="s">
        <v>2640</v>
      </c>
      <c r="B124" s="13" t="s">
        <v>318</v>
      </c>
      <c r="C124" s="13" t="s">
        <v>1652</v>
      </c>
      <c r="D124" s="13" t="s">
        <v>487</v>
      </c>
      <c r="E124" s="13" t="s">
        <v>563</v>
      </c>
      <c r="F124" s="13">
        <v>1</v>
      </c>
      <c r="G124" s="13">
        <v>2</v>
      </c>
      <c r="H124" s="11">
        <f>G124-F124</f>
        <v>1</v>
      </c>
      <c r="I124" s="13" t="s">
        <v>2518</v>
      </c>
      <c r="J124" s="13" t="s">
        <v>2519</v>
      </c>
      <c r="K124" s="13" t="s">
        <v>2520</v>
      </c>
    </row>
    <row r="125" spans="1:11" ht="45" customHeight="1">
      <c r="A125" s="14" t="s">
        <v>2641</v>
      </c>
      <c r="B125" s="14" t="s">
        <v>318</v>
      </c>
      <c r="C125" s="14" t="s">
        <v>1652</v>
      </c>
      <c r="D125" s="14" t="s">
        <v>487</v>
      </c>
      <c r="E125" s="14" t="s">
        <v>572</v>
      </c>
      <c r="F125" s="14">
        <v>2</v>
      </c>
      <c r="G125" s="14">
        <v>2</v>
      </c>
      <c r="H125" s="12">
        <f>G125-F125</f>
        <v>0</v>
      </c>
      <c r="I125" s="14" t="s">
        <v>2518</v>
      </c>
      <c r="J125" s="14" t="s">
        <v>2519</v>
      </c>
      <c r="K125" s="14" t="s">
        <v>2520</v>
      </c>
    </row>
    <row r="126" spans="1:11" ht="45" customHeight="1">
      <c r="A126" s="13" t="s">
        <v>2642</v>
      </c>
      <c r="B126" s="13" t="s">
        <v>318</v>
      </c>
      <c r="C126" s="13" t="s">
        <v>1652</v>
      </c>
      <c r="D126" s="13" t="s">
        <v>487</v>
      </c>
      <c r="E126" s="13" t="s">
        <v>579</v>
      </c>
      <c r="F126" s="13">
        <v>2</v>
      </c>
      <c r="G126" s="13">
        <v>2</v>
      </c>
      <c r="H126" s="11">
        <f>G126-F126</f>
        <v>0</v>
      </c>
      <c r="I126" s="13" t="s">
        <v>2518</v>
      </c>
      <c r="J126" s="13" t="s">
        <v>2519</v>
      </c>
      <c r="K126" s="13" t="s">
        <v>2520</v>
      </c>
    </row>
    <row r="127" spans="1:11" ht="45" customHeight="1">
      <c r="A127" s="14" t="s">
        <v>2643</v>
      </c>
      <c r="B127" s="14" t="s">
        <v>318</v>
      </c>
      <c r="C127" s="14" t="s">
        <v>1652</v>
      </c>
      <c r="D127" s="14" t="s">
        <v>487</v>
      </c>
      <c r="E127" s="14" t="s">
        <v>586</v>
      </c>
      <c r="F127" s="14">
        <v>1</v>
      </c>
      <c r="G127" s="14">
        <v>1</v>
      </c>
      <c r="H127" s="12">
        <f>G127-F127</f>
        <v>0</v>
      </c>
      <c r="I127" s="14" t="s">
        <v>2518</v>
      </c>
      <c r="J127" s="14" t="s">
        <v>2519</v>
      </c>
      <c r="K127" s="14" t="s">
        <v>2520</v>
      </c>
    </row>
    <row r="128" spans="1:11" ht="45" customHeight="1">
      <c r="A128" s="13" t="s">
        <v>2644</v>
      </c>
      <c r="B128" s="13" t="s">
        <v>318</v>
      </c>
      <c r="C128" s="13" t="s">
        <v>1652</v>
      </c>
      <c r="D128" s="13" t="s">
        <v>487</v>
      </c>
      <c r="E128" s="13" t="s">
        <v>600</v>
      </c>
      <c r="F128" s="13">
        <v>2</v>
      </c>
      <c r="G128" s="13">
        <v>2</v>
      </c>
      <c r="H128" s="11">
        <f>G128-F128</f>
        <v>0</v>
      </c>
      <c r="I128" s="13" t="s">
        <v>2518</v>
      </c>
      <c r="J128" s="13" t="s">
        <v>2519</v>
      </c>
      <c r="K128" s="13" t="s">
        <v>2520</v>
      </c>
    </row>
    <row r="129" spans="1:11" ht="45" customHeight="1">
      <c r="A129" s="14" t="s">
        <v>2645</v>
      </c>
      <c r="B129" s="14" t="s">
        <v>318</v>
      </c>
      <c r="C129" s="14" t="s">
        <v>1652</v>
      </c>
      <c r="D129" s="14" t="s">
        <v>487</v>
      </c>
      <c r="E129" s="14" t="s">
        <v>607</v>
      </c>
      <c r="F129" s="14">
        <v>1</v>
      </c>
      <c r="G129" s="14">
        <v>2</v>
      </c>
      <c r="H129" s="12">
        <f>G129-F129</f>
        <v>1</v>
      </c>
      <c r="I129" s="14" t="s">
        <v>2518</v>
      </c>
      <c r="J129" s="14" t="s">
        <v>2519</v>
      </c>
      <c r="K129" s="14" t="s">
        <v>2520</v>
      </c>
    </row>
    <row r="130" spans="1:11" ht="45" customHeight="1">
      <c r="A130" s="13" t="s">
        <v>2646</v>
      </c>
      <c r="B130" s="13" t="s">
        <v>318</v>
      </c>
      <c r="C130" s="13" t="s">
        <v>1652</v>
      </c>
      <c r="D130" s="13" t="s">
        <v>487</v>
      </c>
      <c r="E130" s="13" t="s">
        <v>614</v>
      </c>
      <c r="F130" s="13">
        <v>3</v>
      </c>
      <c r="G130" s="13">
        <v>3</v>
      </c>
      <c r="H130" s="11">
        <f>G130-F130</f>
        <v>0</v>
      </c>
      <c r="I130" s="13" t="s">
        <v>2518</v>
      </c>
      <c r="J130" s="13" t="s">
        <v>2519</v>
      </c>
      <c r="K130" s="13" t="s">
        <v>2520</v>
      </c>
    </row>
    <row r="131" spans="1:11" ht="45" customHeight="1">
      <c r="A131" s="14" t="s">
        <v>2647</v>
      </c>
      <c r="B131" s="14" t="s">
        <v>318</v>
      </c>
      <c r="C131" s="14" t="s">
        <v>1652</v>
      </c>
      <c r="D131" s="14" t="s">
        <v>487</v>
      </c>
      <c r="E131" s="14" t="s">
        <v>621</v>
      </c>
      <c r="F131" s="14">
        <v>2</v>
      </c>
      <c r="G131" s="14">
        <v>2</v>
      </c>
      <c r="H131" s="12">
        <f>G131-F131</f>
        <v>0</v>
      </c>
      <c r="I131" s="14" t="s">
        <v>2518</v>
      </c>
      <c r="J131" s="14" t="s">
        <v>2519</v>
      </c>
      <c r="K131" s="14" t="s">
        <v>2520</v>
      </c>
    </row>
    <row r="132" spans="1:11" ht="45" customHeight="1">
      <c r="A132" s="13" t="s">
        <v>2648</v>
      </c>
      <c r="B132" s="13" t="s">
        <v>318</v>
      </c>
      <c r="C132" s="13" t="s">
        <v>1652</v>
      </c>
      <c r="D132" s="13" t="s">
        <v>487</v>
      </c>
      <c r="E132" s="13" t="s">
        <v>628</v>
      </c>
      <c r="F132" s="13">
        <v>2</v>
      </c>
      <c r="G132" s="13">
        <v>2</v>
      </c>
      <c r="H132" s="11">
        <f>G132-F132</f>
        <v>0</v>
      </c>
      <c r="I132" s="13" t="s">
        <v>2518</v>
      </c>
      <c r="J132" s="13" t="s">
        <v>2519</v>
      </c>
      <c r="K132" s="13" t="s">
        <v>2520</v>
      </c>
    </row>
    <row r="133" spans="1:11" ht="45" customHeight="1">
      <c r="A133" s="14" t="s">
        <v>2649</v>
      </c>
      <c r="B133" s="14" t="s">
        <v>318</v>
      </c>
      <c r="C133" s="14" t="s">
        <v>1652</v>
      </c>
      <c r="D133" s="14" t="s">
        <v>487</v>
      </c>
      <c r="E133" s="14" t="s">
        <v>636</v>
      </c>
      <c r="F133" s="14">
        <v>1</v>
      </c>
      <c r="G133" s="14">
        <v>2</v>
      </c>
      <c r="H133" s="12">
        <f>G133-F133</f>
        <v>1</v>
      </c>
      <c r="I133" s="14" t="s">
        <v>2518</v>
      </c>
      <c r="J133" s="14" t="s">
        <v>2519</v>
      </c>
      <c r="K133" s="14" t="s">
        <v>2520</v>
      </c>
    </row>
    <row r="134" spans="1:11" ht="45" customHeight="1">
      <c r="A134" s="13" t="s">
        <v>2650</v>
      </c>
      <c r="B134" s="13" t="s">
        <v>318</v>
      </c>
      <c r="C134" s="13" t="s">
        <v>1654</v>
      </c>
      <c r="D134" s="13" t="s">
        <v>487</v>
      </c>
      <c r="E134" s="13" t="s">
        <v>563</v>
      </c>
      <c r="F134" s="13">
        <v>1</v>
      </c>
      <c r="G134" s="13">
        <v>2</v>
      </c>
      <c r="H134" s="11">
        <f>G134-F134</f>
        <v>1</v>
      </c>
      <c r="I134" s="13" t="s">
        <v>2518</v>
      </c>
      <c r="J134" s="13" t="s">
        <v>2519</v>
      </c>
      <c r="K134" s="13" t="s">
        <v>2520</v>
      </c>
    </row>
    <row r="135" spans="1:11" ht="45" customHeight="1">
      <c r="A135" s="14" t="s">
        <v>2651</v>
      </c>
      <c r="B135" s="14" t="s">
        <v>318</v>
      </c>
      <c r="C135" s="14" t="s">
        <v>1654</v>
      </c>
      <c r="D135" s="14" t="s">
        <v>487</v>
      </c>
      <c r="E135" s="14" t="s">
        <v>572</v>
      </c>
      <c r="F135" s="14">
        <v>2</v>
      </c>
      <c r="G135" s="14">
        <v>2</v>
      </c>
      <c r="H135" s="12">
        <f>G135-F135</f>
        <v>0</v>
      </c>
      <c r="I135" s="14" t="s">
        <v>2518</v>
      </c>
      <c r="J135" s="14" t="s">
        <v>2519</v>
      </c>
      <c r="K135" s="14" t="s">
        <v>2520</v>
      </c>
    </row>
    <row r="136" spans="1:11" ht="45" customHeight="1">
      <c r="A136" s="13" t="s">
        <v>2652</v>
      </c>
      <c r="B136" s="13" t="s">
        <v>318</v>
      </c>
      <c r="C136" s="13" t="s">
        <v>1654</v>
      </c>
      <c r="D136" s="13" t="s">
        <v>487</v>
      </c>
      <c r="E136" s="13" t="s">
        <v>579</v>
      </c>
      <c r="F136" s="13">
        <v>2</v>
      </c>
      <c r="G136" s="13">
        <v>2</v>
      </c>
      <c r="H136" s="11">
        <f>G136-F136</f>
        <v>0</v>
      </c>
      <c r="I136" s="13" t="s">
        <v>2518</v>
      </c>
      <c r="J136" s="13" t="s">
        <v>2519</v>
      </c>
      <c r="K136" s="13" t="s">
        <v>2520</v>
      </c>
    </row>
    <row r="137" spans="1:11" ht="45" customHeight="1">
      <c r="A137" s="14" t="s">
        <v>2653</v>
      </c>
      <c r="B137" s="14" t="s">
        <v>318</v>
      </c>
      <c r="C137" s="14" t="s">
        <v>1654</v>
      </c>
      <c r="D137" s="14" t="s">
        <v>487</v>
      </c>
      <c r="E137" s="14" t="s">
        <v>586</v>
      </c>
      <c r="F137" s="14">
        <v>1</v>
      </c>
      <c r="G137" s="14">
        <v>2</v>
      </c>
      <c r="H137" s="12">
        <f>G137-F137</f>
        <v>1</v>
      </c>
      <c r="I137" s="14" t="s">
        <v>2518</v>
      </c>
      <c r="J137" s="14" t="s">
        <v>2519</v>
      </c>
      <c r="K137" s="14" t="s">
        <v>2520</v>
      </c>
    </row>
    <row r="138" spans="1:11" ht="45" customHeight="1">
      <c r="A138" s="13" t="s">
        <v>2654</v>
      </c>
      <c r="B138" s="13" t="s">
        <v>318</v>
      </c>
      <c r="C138" s="13" t="s">
        <v>1654</v>
      </c>
      <c r="D138" s="13" t="s">
        <v>487</v>
      </c>
      <c r="E138" s="13" t="s">
        <v>600</v>
      </c>
      <c r="F138" s="13">
        <v>1</v>
      </c>
      <c r="G138" s="13">
        <v>2</v>
      </c>
      <c r="H138" s="11">
        <f>G138-F138</f>
        <v>1</v>
      </c>
      <c r="I138" s="13" t="s">
        <v>2518</v>
      </c>
      <c r="J138" s="13" t="s">
        <v>2519</v>
      </c>
      <c r="K138" s="13" t="s">
        <v>2520</v>
      </c>
    </row>
    <row r="139" spans="1:11" ht="45" customHeight="1">
      <c r="A139" s="14" t="s">
        <v>2655</v>
      </c>
      <c r="B139" s="14" t="s">
        <v>318</v>
      </c>
      <c r="C139" s="14" t="s">
        <v>1654</v>
      </c>
      <c r="D139" s="14" t="s">
        <v>487</v>
      </c>
      <c r="E139" s="14" t="s">
        <v>607</v>
      </c>
      <c r="F139" s="14">
        <v>2</v>
      </c>
      <c r="G139" s="14">
        <v>2</v>
      </c>
      <c r="H139" s="12">
        <f>G139-F139</f>
        <v>0</v>
      </c>
      <c r="I139" s="14" t="s">
        <v>2518</v>
      </c>
      <c r="J139" s="14" t="s">
        <v>2519</v>
      </c>
      <c r="K139" s="14" t="s">
        <v>2520</v>
      </c>
    </row>
    <row r="140" spans="1:11" ht="45" customHeight="1">
      <c r="A140" s="13" t="s">
        <v>2656</v>
      </c>
      <c r="B140" s="13" t="s">
        <v>318</v>
      </c>
      <c r="C140" s="13" t="s">
        <v>1654</v>
      </c>
      <c r="D140" s="13" t="s">
        <v>487</v>
      </c>
      <c r="E140" s="13" t="s">
        <v>614</v>
      </c>
      <c r="F140" s="13">
        <v>1</v>
      </c>
      <c r="G140" s="13">
        <v>1</v>
      </c>
      <c r="H140" s="11">
        <f>G140-F140</f>
        <v>0</v>
      </c>
      <c r="I140" s="13" t="s">
        <v>2518</v>
      </c>
      <c r="J140" s="13" t="s">
        <v>2519</v>
      </c>
      <c r="K140" s="13" t="s">
        <v>2520</v>
      </c>
    </row>
    <row r="141" spans="1:11" ht="45" customHeight="1">
      <c r="A141" s="14" t="s">
        <v>2657</v>
      </c>
      <c r="B141" s="14" t="s">
        <v>318</v>
      </c>
      <c r="C141" s="14" t="s">
        <v>1654</v>
      </c>
      <c r="D141" s="14" t="s">
        <v>487</v>
      </c>
      <c r="E141" s="14" t="s">
        <v>621</v>
      </c>
      <c r="F141" s="14">
        <v>1</v>
      </c>
      <c r="G141" s="14">
        <v>2</v>
      </c>
      <c r="H141" s="12">
        <f>G141-F141</f>
        <v>1</v>
      </c>
      <c r="I141" s="14" t="s">
        <v>2518</v>
      </c>
      <c r="J141" s="14" t="s">
        <v>2519</v>
      </c>
      <c r="K141" s="14" t="s">
        <v>2520</v>
      </c>
    </row>
    <row r="142" spans="1:11" ht="45" customHeight="1">
      <c r="A142" s="13" t="s">
        <v>2658</v>
      </c>
      <c r="B142" s="13" t="s">
        <v>318</v>
      </c>
      <c r="C142" s="13" t="s">
        <v>1654</v>
      </c>
      <c r="D142" s="13" t="s">
        <v>487</v>
      </c>
      <c r="E142" s="13" t="s">
        <v>628</v>
      </c>
      <c r="F142" s="13">
        <v>2</v>
      </c>
      <c r="G142" s="13">
        <v>2</v>
      </c>
      <c r="H142" s="11">
        <f>G142-F142</f>
        <v>0</v>
      </c>
      <c r="I142" s="13" t="s">
        <v>2518</v>
      </c>
      <c r="J142" s="13" t="s">
        <v>2519</v>
      </c>
      <c r="K142" s="13" t="s">
        <v>2520</v>
      </c>
    </row>
    <row r="143" spans="1:11" ht="45" customHeight="1">
      <c r="A143" s="14" t="s">
        <v>2659</v>
      </c>
      <c r="B143" s="14" t="s">
        <v>318</v>
      </c>
      <c r="C143" s="14" t="s">
        <v>1654</v>
      </c>
      <c r="D143" s="14" t="s">
        <v>487</v>
      </c>
      <c r="E143" s="14" t="s">
        <v>636</v>
      </c>
      <c r="F143" s="14">
        <v>2</v>
      </c>
      <c r="G143" s="14">
        <v>2</v>
      </c>
      <c r="H143" s="12">
        <f>G143-F143</f>
        <v>0</v>
      </c>
      <c r="I143" s="14" t="s">
        <v>2518</v>
      </c>
      <c r="J143" s="14" t="s">
        <v>2519</v>
      </c>
      <c r="K143" s="14" t="s">
        <v>2520</v>
      </c>
    </row>
    <row r="144" spans="1:11" ht="45" customHeight="1">
      <c r="A144" s="13" t="s">
        <v>2660</v>
      </c>
      <c r="B144" s="13" t="s">
        <v>318</v>
      </c>
      <c r="C144" s="13" t="s">
        <v>1661</v>
      </c>
      <c r="D144" s="13" t="s">
        <v>490</v>
      </c>
      <c r="E144" s="13" t="s">
        <v>563</v>
      </c>
      <c r="F144" s="13">
        <v>1</v>
      </c>
      <c r="G144" s="13">
        <v>2</v>
      </c>
      <c r="H144" s="11">
        <f>G144-F144</f>
        <v>1</v>
      </c>
      <c r="I144" s="13" t="s">
        <v>2518</v>
      </c>
      <c r="J144" s="13" t="s">
        <v>2519</v>
      </c>
      <c r="K144" s="13" t="s">
        <v>2520</v>
      </c>
    </row>
    <row r="145" spans="1:11" ht="45" customHeight="1">
      <c r="A145" s="14" t="s">
        <v>2661</v>
      </c>
      <c r="B145" s="14" t="s">
        <v>318</v>
      </c>
      <c r="C145" s="14" t="s">
        <v>1661</v>
      </c>
      <c r="D145" s="14" t="s">
        <v>490</v>
      </c>
      <c r="E145" s="14" t="s">
        <v>593</v>
      </c>
      <c r="F145" s="14">
        <v>1</v>
      </c>
      <c r="G145" s="14">
        <v>1</v>
      </c>
      <c r="H145" s="12">
        <f>G145-F145</f>
        <v>0</v>
      </c>
      <c r="I145" s="14" t="s">
        <v>2518</v>
      </c>
      <c r="J145" s="14" t="s">
        <v>2519</v>
      </c>
      <c r="K145" s="14" t="s">
        <v>2520</v>
      </c>
    </row>
    <row r="146" spans="1:11" ht="45" customHeight="1">
      <c r="A146" s="13" t="s">
        <v>2662</v>
      </c>
      <c r="B146" s="13" t="s">
        <v>318</v>
      </c>
      <c r="C146" s="13" t="s">
        <v>1661</v>
      </c>
      <c r="D146" s="13" t="s">
        <v>490</v>
      </c>
      <c r="E146" s="13" t="s">
        <v>621</v>
      </c>
      <c r="F146" s="13">
        <v>2</v>
      </c>
      <c r="G146" s="13">
        <v>2</v>
      </c>
      <c r="H146" s="11">
        <f>G146-F146</f>
        <v>0</v>
      </c>
      <c r="I146" s="13" t="s">
        <v>2518</v>
      </c>
      <c r="J146" s="13" t="s">
        <v>2519</v>
      </c>
      <c r="K146" s="13" t="s">
        <v>2520</v>
      </c>
    </row>
    <row r="147" spans="1:11" ht="45" customHeight="1">
      <c r="A147" s="14" t="s">
        <v>2663</v>
      </c>
      <c r="B147" s="14" t="s">
        <v>318</v>
      </c>
      <c r="C147" s="14" t="s">
        <v>1661</v>
      </c>
      <c r="D147" s="14" t="s">
        <v>490</v>
      </c>
      <c r="E147" s="14" t="s">
        <v>628</v>
      </c>
      <c r="F147" s="14">
        <v>2</v>
      </c>
      <c r="G147" s="14">
        <v>2</v>
      </c>
      <c r="H147" s="12">
        <f>G147-F147</f>
        <v>0</v>
      </c>
      <c r="I147" s="14" t="s">
        <v>2518</v>
      </c>
      <c r="J147" s="14" t="s">
        <v>2519</v>
      </c>
      <c r="K147" s="14" t="s">
        <v>2520</v>
      </c>
    </row>
    <row r="148" spans="1:11" ht="45" customHeight="1">
      <c r="A148" s="13" t="s">
        <v>2664</v>
      </c>
      <c r="B148" s="13" t="s">
        <v>318</v>
      </c>
      <c r="C148" s="13" t="s">
        <v>1661</v>
      </c>
      <c r="D148" s="13" t="s">
        <v>490</v>
      </c>
      <c r="E148" s="13" t="s">
        <v>636</v>
      </c>
      <c r="F148" s="13">
        <v>2</v>
      </c>
      <c r="G148" s="13">
        <v>2</v>
      </c>
      <c r="H148" s="11">
        <f>G148-F148</f>
        <v>0</v>
      </c>
      <c r="I148" s="13" t="s">
        <v>2518</v>
      </c>
      <c r="J148" s="13" t="s">
        <v>2519</v>
      </c>
      <c r="K148" s="13" t="s">
        <v>2520</v>
      </c>
    </row>
    <row r="149" spans="1:11" ht="45" customHeight="1">
      <c r="A149" s="14" t="s">
        <v>2665</v>
      </c>
      <c r="B149" s="14" t="s">
        <v>318</v>
      </c>
      <c r="C149" s="14" t="s">
        <v>1661</v>
      </c>
      <c r="D149" s="14" t="s">
        <v>490</v>
      </c>
      <c r="E149" s="14" t="s">
        <v>643</v>
      </c>
      <c r="F149" s="14">
        <v>2</v>
      </c>
      <c r="G149" s="14">
        <v>2</v>
      </c>
      <c r="H149" s="12">
        <f>G149-F149</f>
        <v>0</v>
      </c>
      <c r="I149" s="14" t="s">
        <v>2518</v>
      </c>
      <c r="J149" s="14" t="s">
        <v>2519</v>
      </c>
      <c r="K149" s="14" t="s">
        <v>2520</v>
      </c>
    </row>
    <row r="150" spans="1:11" ht="45" customHeight="1">
      <c r="A150" s="13" t="s">
        <v>2666</v>
      </c>
      <c r="B150" s="13" t="s">
        <v>318</v>
      </c>
      <c r="C150" s="13" t="s">
        <v>1661</v>
      </c>
      <c r="D150" s="13" t="s">
        <v>490</v>
      </c>
      <c r="E150" s="13" t="s">
        <v>650</v>
      </c>
      <c r="F150" s="13">
        <v>2</v>
      </c>
      <c r="G150" s="13">
        <v>2</v>
      </c>
      <c r="H150" s="11">
        <f>G150-F150</f>
        <v>0</v>
      </c>
      <c r="I150" s="13" t="s">
        <v>2518</v>
      </c>
      <c r="J150" s="13" t="s">
        <v>2519</v>
      </c>
      <c r="K150" s="13" t="s">
        <v>2520</v>
      </c>
    </row>
    <row r="151" spans="1:11" ht="45" customHeight="1">
      <c r="A151" s="14" t="s">
        <v>2667</v>
      </c>
      <c r="B151" s="14" t="s">
        <v>318</v>
      </c>
      <c r="C151" s="14" t="s">
        <v>1661</v>
      </c>
      <c r="D151" s="14" t="s">
        <v>490</v>
      </c>
      <c r="E151" s="14" t="s">
        <v>657</v>
      </c>
      <c r="F151" s="14">
        <v>1</v>
      </c>
      <c r="G151" s="14">
        <v>2</v>
      </c>
      <c r="H151" s="12">
        <f>G151-F151</f>
        <v>1</v>
      </c>
      <c r="I151" s="14" t="s">
        <v>2518</v>
      </c>
      <c r="J151" s="14" t="s">
        <v>2519</v>
      </c>
      <c r="K151" s="14" t="s">
        <v>2520</v>
      </c>
    </row>
    <row r="152" spans="1:11" ht="45" customHeight="1">
      <c r="A152" s="13" t="s">
        <v>2668</v>
      </c>
      <c r="B152" s="13" t="s">
        <v>318</v>
      </c>
      <c r="C152" s="13" t="s">
        <v>1661</v>
      </c>
      <c r="D152" s="13" t="s">
        <v>490</v>
      </c>
      <c r="E152" s="13" t="s">
        <v>664</v>
      </c>
      <c r="F152" s="13">
        <v>2</v>
      </c>
      <c r="G152" s="13">
        <v>2</v>
      </c>
      <c r="H152" s="11">
        <f>G152-F152</f>
        <v>0</v>
      </c>
      <c r="I152" s="13" t="s">
        <v>2518</v>
      </c>
      <c r="J152" s="13" t="s">
        <v>2519</v>
      </c>
      <c r="K152" s="13" t="s">
        <v>2520</v>
      </c>
    </row>
    <row r="153" spans="1:11" ht="45" customHeight="1">
      <c r="A153" s="14" t="s">
        <v>2669</v>
      </c>
      <c r="B153" s="14" t="s">
        <v>318</v>
      </c>
      <c r="C153" s="14" t="s">
        <v>1661</v>
      </c>
      <c r="D153" s="14" t="s">
        <v>490</v>
      </c>
      <c r="E153" s="14" t="s">
        <v>671</v>
      </c>
      <c r="F153" s="14">
        <v>2</v>
      </c>
      <c r="G153" s="14">
        <v>2</v>
      </c>
      <c r="H153" s="12">
        <f>G153-F153</f>
        <v>0</v>
      </c>
      <c r="I153" s="14" t="s">
        <v>2518</v>
      </c>
      <c r="J153" s="14" t="s">
        <v>2519</v>
      </c>
      <c r="K153" s="14" t="s">
        <v>2520</v>
      </c>
    </row>
    <row r="154" spans="1:11" ht="45" customHeight="1">
      <c r="A154" s="13" t="s">
        <v>2670</v>
      </c>
      <c r="B154" s="13" t="s">
        <v>318</v>
      </c>
      <c r="C154" s="13" t="s">
        <v>1663</v>
      </c>
      <c r="D154" s="13" t="s">
        <v>490</v>
      </c>
      <c r="E154" s="13" t="s">
        <v>563</v>
      </c>
      <c r="F154" s="13">
        <v>2</v>
      </c>
      <c r="G154" s="13">
        <v>2</v>
      </c>
      <c r="H154" s="11">
        <f>G154-F154</f>
        <v>0</v>
      </c>
      <c r="I154" s="13" t="s">
        <v>2518</v>
      </c>
      <c r="J154" s="13" t="s">
        <v>2519</v>
      </c>
      <c r="K154" s="13" t="s">
        <v>2520</v>
      </c>
    </row>
    <row r="155" spans="1:11" ht="45" customHeight="1">
      <c r="A155" s="14" t="s">
        <v>2671</v>
      </c>
      <c r="B155" s="14" t="s">
        <v>318</v>
      </c>
      <c r="C155" s="14" t="s">
        <v>1663</v>
      </c>
      <c r="D155" s="14" t="s">
        <v>490</v>
      </c>
      <c r="E155" s="14" t="s">
        <v>593</v>
      </c>
      <c r="F155" s="14">
        <v>1</v>
      </c>
      <c r="G155" s="14">
        <v>1</v>
      </c>
      <c r="H155" s="12">
        <f>G155-F155</f>
        <v>0</v>
      </c>
      <c r="I155" s="14" t="s">
        <v>2518</v>
      </c>
      <c r="J155" s="14" t="s">
        <v>2519</v>
      </c>
      <c r="K155" s="14" t="s">
        <v>2520</v>
      </c>
    </row>
    <row r="156" spans="1:11" ht="45" customHeight="1">
      <c r="A156" s="13" t="s">
        <v>2672</v>
      </c>
      <c r="B156" s="13" t="s">
        <v>318</v>
      </c>
      <c r="C156" s="13" t="s">
        <v>1663</v>
      </c>
      <c r="D156" s="13" t="s">
        <v>490</v>
      </c>
      <c r="E156" s="13" t="s">
        <v>621</v>
      </c>
      <c r="F156" s="13">
        <v>1</v>
      </c>
      <c r="G156" s="13">
        <v>1</v>
      </c>
      <c r="H156" s="11">
        <f>G156-F156</f>
        <v>0</v>
      </c>
      <c r="I156" s="13" t="s">
        <v>2518</v>
      </c>
      <c r="J156" s="13" t="s">
        <v>2519</v>
      </c>
      <c r="K156" s="13" t="s">
        <v>2520</v>
      </c>
    </row>
    <row r="157" spans="1:11" ht="45" customHeight="1">
      <c r="A157" s="14" t="s">
        <v>2673</v>
      </c>
      <c r="B157" s="14" t="s">
        <v>318</v>
      </c>
      <c r="C157" s="14" t="s">
        <v>1663</v>
      </c>
      <c r="D157" s="14" t="s">
        <v>490</v>
      </c>
      <c r="E157" s="14" t="s">
        <v>628</v>
      </c>
      <c r="F157" s="14">
        <v>1</v>
      </c>
      <c r="G157" s="14">
        <v>1</v>
      </c>
      <c r="H157" s="12">
        <f>G157-F157</f>
        <v>0</v>
      </c>
      <c r="I157" s="14" t="s">
        <v>2518</v>
      </c>
      <c r="J157" s="14" t="s">
        <v>2519</v>
      </c>
      <c r="K157" s="14" t="s">
        <v>2520</v>
      </c>
    </row>
    <row r="158" spans="1:11" ht="45" customHeight="1">
      <c r="A158" s="13" t="s">
        <v>2674</v>
      </c>
      <c r="B158" s="13" t="s">
        <v>318</v>
      </c>
      <c r="C158" s="13" t="s">
        <v>1663</v>
      </c>
      <c r="D158" s="13" t="s">
        <v>490</v>
      </c>
      <c r="E158" s="13" t="s">
        <v>636</v>
      </c>
      <c r="F158" s="13">
        <v>1</v>
      </c>
      <c r="G158" s="13">
        <v>1</v>
      </c>
      <c r="H158" s="11">
        <f>G158-F158</f>
        <v>0</v>
      </c>
      <c r="I158" s="13" t="s">
        <v>2518</v>
      </c>
      <c r="J158" s="13" t="s">
        <v>2519</v>
      </c>
      <c r="K158" s="13" t="s">
        <v>2520</v>
      </c>
    </row>
    <row r="159" spans="1:11" ht="45" customHeight="1">
      <c r="A159" s="14" t="s">
        <v>2675</v>
      </c>
      <c r="B159" s="14" t="s">
        <v>318</v>
      </c>
      <c r="C159" s="14" t="s">
        <v>1663</v>
      </c>
      <c r="D159" s="14" t="s">
        <v>490</v>
      </c>
      <c r="E159" s="14" t="s">
        <v>643</v>
      </c>
      <c r="F159" s="14">
        <v>1</v>
      </c>
      <c r="G159" s="14">
        <v>1</v>
      </c>
      <c r="H159" s="12">
        <f>G159-F159</f>
        <v>0</v>
      </c>
      <c r="I159" s="14" t="s">
        <v>2518</v>
      </c>
      <c r="J159" s="14" t="s">
        <v>2519</v>
      </c>
      <c r="K159" s="14" t="s">
        <v>2520</v>
      </c>
    </row>
    <row r="160" spans="1:11" ht="45" customHeight="1">
      <c r="A160" s="13" t="s">
        <v>2676</v>
      </c>
      <c r="B160" s="13" t="s">
        <v>318</v>
      </c>
      <c r="C160" s="13" t="s">
        <v>1663</v>
      </c>
      <c r="D160" s="13" t="s">
        <v>490</v>
      </c>
      <c r="E160" s="13" t="s">
        <v>650</v>
      </c>
      <c r="F160" s="13">
        <v>1</v>
      </c>
      <c r="G160" s="13">
        <v>1</v>
      </c>
      <c r="H160" s="11">
        <f>G160-F160</f>
        <v>0</v>
      </c>
      <c r="I160" s="13" t="s">
        <v>2518</v>
      </c>
      <c r="J160" s="13" t="s">
        <v>2519</v>
      </c>
      <c r="K160" s="13" t="s">
        <v>2520</v>
      </c>
    </row>
    <row r="161" spans="1:11" ht="45" customHeight="1">
      <c r="A161" s="14" t="s">
        <v>2677</v>
      </c>
      <c r="B161" s="14" t="s">
        <v>318</v>
      </c>
      <c r="C161" s="14" t="s">
        <v>1663</v>
      </c>
      <c r="D161" s="14" t="s">
        <v>490</v>
      </c>
      <c r="E161" s="14" t="s">
        <v>657</v>
      </c>
      <c r="F161" s="14">
        <v>1</v>
      </c>
      <c r="G161" s="14">
        <v>1</v>
      </c>
      <c r="H161" s="12">
        <f>G161-F161</f>
        <v>0</v>
      </c>
      <c r="I161" s="14" t="s">
        <v>2518</v>
      </c>
      <c r="J161" s="14" t="s">
        <v>2519</v>
      </c>
      <c r="K161" s="14" t="s">
        <v>2520</v>
      </c>
    </row>
    <row r="162" spans="1:11" ht="45" customHeight="1">
      <c r="A162" s="13" t="s">
        <v>2678</v>
      </c>
      <c r="B162" s="13" t="s">
        <v>318</v>
      </c>
      <c r="C162" s="13" t="s">
        <v>1663</v>
      </c>
      <c r="D162" s="13" t="s">
        <v>490</v>
      </c>
      <c r="E162" s="13" t="s">
        <v>664</v>
      </c>
      <c r="F162" s="13">
        <v>1</v>
      </c>
      <c r="G162" s="13">
        <v>1</v>
      </c>
      <c r="H162" s="11">
        <f>G162-F162</f>
        <v>0</v>
      </c>
      <c r="I162" s="13" t="s">
        <v>2518</v>
      </c>
      <c r="J162" s="13" t="s">
        <v>2519</v>
      </c>
      <c r="K162" s="13" t="s">
        <v>2520</v>
      </c>
    </row>
    <row r="163" spans="1:11" ht="45" customHeight="1">
      <c r="A163" s="14" t="s">
        <v>2679</v>
      </c>
      <c r="B163" s="14" t="s">
        <v>318</v>
      </c>
      <c r="C163" s="14" t="s">
        <v>1663</v>
      </c>
      <c r="D163" s="14" t="s">
        <v>490</v>
      </c>
      <c r="E163" s="14" t="s">
        <v>671</v>
      </c>
      <c r="F163" s="14">
        <v>1</v>
      </c>
      <c r="G163" s="14">
        <v>1</v>
      </c>
      <c r="H163" s="12">
        <f>G163-F163</f>
        <v>0</v>
      </c>
      <c r="I163" s="14" t="s">
        <v>2518</v>
      </c>
      <c r="J163" s="14" t="s">
        <v>2519</v>
      </c>
      <c r="K163" s="14" t="s">
        <v>2520</v>
      </c>
    </row>
    <row r="164" spans="1:11" ht="45" customHeight="1">
      <c r="A164" s="13" t="s">
        <v>2680</v>
      </c>
      <c r="B164" s="13" t="s">
        <v>318</v>
      </c>
      <c r="C164" s="13" t="s">
        <v>1673</v>
      </c>
      <c r="D164" s="13" t="s">
        <v>492</v>
      </c>
      <c r="E164" s="13" t="s">
        <v>678</v>
      </c>
      <c r="F164" s="13">
        <v>2</v>
      </c>
      <c r="G164" s="13">
        <v>3</v>
      </c>
      <c r="H164" s="11">
        <f>G164-F164</f>
        <v>1</v>
      </c>
      <c r="I164" s="13" t="s">
        <v>2518</v>
      </c>
      <c r="J164" s="13" t="s">
        <v>2519</v>
      </c>
      <c r="K164" s="13" t="s">
        <v>2520</v>
      </c>
    </row>
    <row r="165" spans="1:11" ht="45" customHeight="1">
      <c r="A165" s="14" t="s">
        <v>2681</v>
      </c>
      <c r="B165" s="14" t="s">
        <v>318</v>
      </c>
      <c r="C165" s="14" t="s">
        <v>1673</v>
      </c>
      <c r="D165" s="14" t="s">
        <v>492</v>
      </c>
      <c r="E165" s="14" t="s">
        <v>683</v>
      </c>
      <c r="F165" s="14">
        <v>3</v>
      </c>
      <c r="G165" s="14">
        <v>3</v>
      </c>
      <c r="H165" s="12">
        <f>G165-F165</f>
        <v>0</v>
      </c>
      <c r="I165" s="14" t="s">
        <v>2518</v>
      </c>
      <c r="J165" s="14" t="s">
        <v>2519</v>
      </c>
      <c r="K165" s="14" t="s">
        <v>2520</v>
      </c>
    </row>
    <row r="166" spans="1:11" ht="45" customHeight="1">
      <c r="A166" s="13" t="s">
        <v>2682</v>
      </c>
      <c r="B166" s="13" t="s">
        <v>318</v>
      </c>
      <c r="C166" s="13" t="s">
        <v>1673</v>
      </c>
      <c r="D166" s="13" t="s">
        <v>492</v>
      </c>
      <c r="E166" s="13" t="s">
        <v>690</v>
      </c>
      <c r="F166" s="13">
        <v>2</v>
      </c>
      <c r="G166" s="13">
        <v>3</v>
      </c>
      <c r="H166" s="11">
        <f>G166-F166</f>
        <v>1</v>
      </c>
      <c r="I166" s="13" t="s">
        <v>2518</v>
      </c>
      <c r="J166" s="13" t="s">
        <v>2519</v>
      </c>
      <c r="K166" s="13" t="s">
        <v>2520</v>
      </c>
    </row>
    <row r="167" spans="1:11" ht="45" customHeight="1">
      <c r="A167" s="14" t="s">
        <v>2683</v>
      </c>
      <c r="B167" s="14" t="s">
        <v>318</v>
      </c>
      <c r="C167" s="14" t="s">
        <v>1673</v>
      </c>
      <c r="D167" s="14" t="s">
        <v>492</v>
      </c>
      <c r="E167" s="14" t="s">
        <v>697</v>
      </c>
      <c r="F167" s="14">
        <v>3</v>
      </c>
      <c r="G167" s="14">
        <v>3</v>
      </c>
      <c r="H167" s="12">
        <f>G167-F167</f>
        <v>0</v>
      </c>
      <c r="I167" s="14" t="s">
        <v>2518</v>
      </c>
      <c r="J167" s="14" t="s">
        <v>2519</v>
      </c>
      <c r="K167" s="14" t="s">
        <v>2520</v>
      </c>
    </row>
    <row r="168" spans="1:11" ht="45" customHeight="1">
      <c r="A168" s="13" t="s">
        <v>2684</v>
      </c>
      <c r="B168" s="13" t="s">
        <v>318</v>
      </c>
      <c r="C168" s="13" t="s">
        <v>1673</v>
      </c>
      <c r="D168" s="13" t="s">
        <v>492</v>
      </c>
      <c r="E168" s="13" t="s">
        <v>704</v>
      </c>
      <c r="F168" s="13">
        <v>3</v>
      </c>
      <c r="G168" s="13">
        <v>3</v>
      </c>
      <c r="H168" s="11">
        <f>G168-F168</f>
        <v>0</v>
      </c>
      <c r="I168" s="13" t="s">
        <v>2518</v>
      </c>
      <c r="J168" s="13" t="s">
        <v>2519</v>
      </c>
      <c r="K168" s="13" t="s">
        <v>2520</v>
      </c>
    </row>
    <row r="169" spans="1:11" ht="45" customHeight="1">
      <c r="A169" s="14" t="s">
        <v>2685</v>
      </c>
      <c r="B169" s="14" t="s">
        <v>318</v>
      </c>
      <c r="C169" s="14" t="s">
        <v>1673</v>
      </c>
      <c r="D169" s="14" t="s">
        <v>492</v>
      </c>
      <c r="E169" s="14" t="s">
        <v>711</v>
      </c>
      <c r="F169" s="14">
        <v>2</v>
      </c>
      <c r="G169" s="14">
        <v>3</v>
      </c>
      <c r="H169" s="12">
        <f>G169-F169</f>
        <v>1</v>
      </c>
      <c r="I169" s="14" t="s">
        <v>2518</v>
      </c>
      <c r="J169" s="14" t="s">
        <v>2519</v>
      </c>
      <c r="K169" s="14" t="s">
        <v>2520</v>
      </c>
    </row>
    <row r="170" spans="1:11" ht="45" customHeight="1">
      <c r="A170" s="13" t="s">
        <v>2686</v>
      </c>
      <c r="B170" s="13" t="s">
        <v>318</v>
      </c>
      <c r="C170" s="13" t="s">
        <v>1673</v>
      </c>
      <c r="D170" s="13" t="s">
        <v>492</v>
      </c>
      <c r="E170" s="13" t="s">
        <v>718</v>
      </c>
      <c r="F170" s="13">
        <v>3</v>
      </c>
      <c r="G170" s="13">
        <v>3</v>
      </c>
      <c r="H170" s="11">
        <f>G170-F170</f>
        <v>0</v>
      </c>
      <c r="I170" s="13" t="s">
        <v>2518</v>
      </c>
      <c r="J170" s="13" t="s">
        <v>2519</v>
      </c>
      <c r="K170" s="13" t="s">
        <v>2520</v>
      </c>
    </row>
    <row r="171" spans="1:11" ht="45" customHeight="1">
      <c r="A171" s="14" t="s">
        <v>2687</v>
      </c>
      <c r="B171" s="14" t="s">
        <v>318</v>
      </c>
      <c r="C171" s="14" t="s">
        <v>1673</v>
      </c>
      <c r="D171" s="14" t="s">
        <v>492</v>
      </c>
      <c r="E171" s="14" t="s">
        <v>725</v>
      </c>
      <c r="F171" s="14">
        <v>2</v>
      </c>
      <c r="G171" s="14">
        <v>3</v>
      </c>
      <c r="H171" s="12">
        <f>G171-F171</f>
        <v>1</v>
      </c>
      <c r="I171" s="14" t="s">
        <v>2518</v>
      </c>
      <c r="J171" s="14" t="s">
        <v>2519</v>
      </c>
      <c r="K171" s="14" t="s">
        <v>2520</v>
      </c>
    </row>
    <row r="172" spans="1:11" ht="45" customHeight="1">
      <c r="A172" s="13" t="s">
        <v>2688</v>
      </c>
      <c r="B172" s="13" t="s">
        <v>318</v>
      </c>
      <c r="C172" s="13" t="s">
        <v>1673</v>
      </c>
      <c r="D172" s="13" t="s">
        <v>492</v>
      </c>
      <c r="E172" s="13" t="s">
        <v>729</v>
      </c>
      <c r="F172" s="13">
        <v>2</v>
      </c>
      <c r="G172" s="13">
        <v>3</v>
      </c>
      <c r="H172" s="11">
        <f>G172-F172</f>
        <v>1</v>
      </c>
      <c r="I172" s="13" t="s">
        <v>2518</v>
      </c>
      <c r="J172" s="13" t="s">
        <v>2519</v>
      </c>
      <c r="K172" s="13" t="s">
        <v>2520</v>
      </c>
    </row>
    <row r="173" spans="1:11" ht="45" customHeight="1">
      <c r="A173" s="14" t="s">
        <v>2689</v>
      </c>
      <c r="B173" s="14" t="s">
        <v>318</v>
      </c>
      <c r="C173" s="14" t="s">
        <v>1673</v>
      </c>
      <c r="D173" s="14" t="s">
        <v>492</v>
      </c>
      <c r="E173" s="14" t="s">
        <v>730</v>
      </c>
      <c r="F173" s="14">
        <v>3</v>
      </c>
      <c r="G173" s="14">
        <v>3</v>
      </c>
      <c r="H173" s="12">
        <f>G173-F173</f>
        <v>0</v>
      </c>
      <c r="I173" s="14" t="s">
        <v>2518</v>
      </c>
      <c r="J173" s="14" t="s">
        <v>2519</v>
      </c>
      <c r="K173" s="14" t="s">
        <v>2520</v>
      </c>
    </row>
    <row r="174" spans="1:11" ht="45" customHeight="1">
      <c r="A174" s="13" t="s">
        <v>2690</v>
      </c>
      <c r="B174" s="13" t="s">
        <v>318</v>
      </c>
      <c r="C174" s="13" t="s">
        <v>1675</v>
      </c>
      <c r="D174" s="13" t="s">
        <v>492</v>
      </c>
      <c r="E174" s="13" t="s">
        <v>678</v>
      </c>
      <c r="F174" s="13">
        <v>2</v>
      </c>
      <c r="G174" s="13">
        <v>2</v>
      </c>
      <c r="H174" s="11">
        <f>G174-F174</f>
        <v>0</v>
      </c>
      <c r="I174" s="13" t="s">
        <v>2518</v>
      </c>
      <c r="J174" s="13" t="s">
        <v>2519</v>
      </c>
      <c r="K174" s="13" t="s">
        <v>2520</v>
      </c>
    </row>
    <row r="175" spans="1:11" ht="45" customHeight="1">
      <c r="A175" s="14" t="s">
        <v>2691</v>
      </c>
      <c r="B175" s="14" t="s">
        <v>318</v>
      </c>
      <c r="C175" s="14" t="s">
        <v>1675</v>
      </c>
      <c r="D175" s="14" t="s">
        <v>492</v>
      </c>
      <c r="E175" s="14" t="s">
        <v>683</v>
      </c>
      <c r="F175" s="14">
        <v>2</v>
      </c>
      <c r="G175" s="14">
        <v>2</v>
      </c>
      <c r="H175" s="12">
        <f>G175-F175</f>
        <v>0</v>
      </c>
      <c r="I175" s="14" t="s">
        <v>2518</v>
      </c>
      <c r="J175" s="14" t="s">
        <v>2519</v>
      </c>
      <c r="K175" s="14" t="s">
        <v>2520</v>
      </c>
    </row>
    <row r="176" spans="1:11" ht="45" customHeight="1">
      <c r="A176" s="13" t="s">
        <v>2692</v>
      </c>
      <c r="B176" s="13" t="s">
        <v>318</v>
      </c>
      <c r="C176" s="13" t="s">
        <v>1675</v>
      </c>
      <c r="D176" s="13" t="s">
        <v>492</v>
      </c>
      <c r="E176" s="13" t="s">
        <v>690</v>
      </c>
      <c r="F176" s="13">
        <v>1</v>
      </c>
      <c r="G176" s="13">
        <v>2</v>
      </c>
      <c r="H176" s="11">
        <f>G176-F176</f>
        <v>1</v>
      </c>
      <c r="I176" s="13" t="s">
        <v>2518</v>
      </c>
      <c r="J176" s="13" t="s">
        <v>2519</v>
      </c>
      <c r="K176" s="13" t="s">
        <v>2520</v>
      </c>
    </row>
    <row r="177" spans="1:11" ht="45" customHeight="1">
      <c r="A177" s="14" t="s">
        <v>2693</v>
      </c>
      <c r="B177" s="14" t="s">
        <v>318</v>
      </c>
      <c r="C177" s="14" t="s">
        <v>1675</v>
      </c>
      <c r="D177" s="14" t="s">
        <v>492</v>
      </c>
      <c r="E177" s="14" t="s">
        <v>697</v>
      </c>
      <c r="F177" s="14">
        <v>2</v>
      </c>
      <c r="G177" s="14">
        <v>2</v>
      </c>
      <c r="H177" s="12">
        <f>G177-F177</f>
        <v>0</v>
      </c>
      <c r="I177" s="14" t="s">
        <v>2518</v>
      </c>
      <c r="J177" s="14" t="s">
        <v>2519</v>
      </c>
      <c r="K177" s="14" t="s">
        <v>2520</v>
      </c>
    </row>
    <row r="178" spans="1:11" ht="45" customHeight="1">
      <c r="A178" s="13" t="s">
        <v>2694</v>
      </c>
      <c r="B178" s="13" t="s">
        <v>318</v>
      </c>
      <c r="C178" s="13" t="s">
        <v>1675</v>
      </c>
      <c r="D178" s="13" t="s">
        <v>492</v>
      </c>
      <c r="E178" s="13" t="s">
        <v>704</v>
      </c>
      <c r="F178" s="13">
        <v>2</v>
      </c>
      <c r="G178" s="13">
        <v>2</v>
      </c>
      <c r="H178" s="11">
        <f>G178-F178</f>
        <v>0</v>
      </c>
      <c r="I178" s="13" t="s">
        <v>2518</v>
      </c>
      <c r="J178" s="13" t="s">
        <v>2519</v>
      </c>
      <c r="K178" s="13" t="s">
        <v>2520</v>
      </c>
    </row>
    <row r="179" spans="1:11" ht="45" customHeight="1">
      <c r="A179" s="14" t="s">
        <v>2695</v>
      </c>
      <c r="B179" s="14" t="s">
        <v>318</v>
      </c>
      <c r="C179" s="14" t="s">
        <v>1675</v>
      </c>
      <c r="D179" s="14" t="s">
        <v>492</v>
      </c>
      <c r="E179" s="14" t="s">
        <v>711</v>
      </c>
      <c r="F179" s="14">
        <v>1</v>
      </c>
      <c r="G179" s="14">
        <v>2</v>
      </c>
      <c r="H179" s="12">
        <f>G179-F179</f>
        <v>1</v>
      </c>
      <c r="I179" s="14" t="s">
        <v>2518</v>
      </c>
      <c r="J179" s="14" t="s">
        <v>2519</v>
      </c>
      <c r="K179" s="14" t="s">
        <v>2520</v>
      </c>
    </row>
    <row r="180" spans="1:11" ht="45" customHeight="1">
      <c r="A180" s="13" t="s">
        <v>2696</v>
      </c>
      <c r="B180" s="13" t="s">
        <v>318</v>
      </c>
      <c r="C180" s="13" t="s">
        <v>1675</v>
      </c>
      <c r="D180" s="13" t="s">
        <v>492</v>
      </c>
      <c r="E180" s="13" t="s">
        <v>718</v>
      </c>
      <c r="F180" s="13">
        <v>2</v>
      </c>
      <c r="G180" s="13">
        <v>2</v>
      </c>
      <c r="H180" s="11">
        <f>G180-F180</f>
        <v>0</v>
      </c>
      <c r="I180" s="13" t="s">
        <v>2518</v>
      </c>
      <c r="J180" s="13" t="s">
        <v>2519</v>
      </c>
      <c r="K180" s="13" t="s">
        <v>2520</v>
      </c>
    </row>
    <row r="181" spans="1:11" ht="45" customHeight="1">
      <c r="A181" s="14" t="s">
        <v>2697</v>
      </c>
      <c r="B181" s="14" t="s">
        <v>318</v>
      </c>
      <c r="C181" s="14" t="s">
        <v>1675</v>
      </c>
      <c r="D181" s="14" t="s">
        <v>492</v>
      </c>
      <c r="E181" s="14" t="s">
        <v>725</v>
      </c>
      <c r="F181" s="14">
        <v>3</v>
      </c>
      <c r="G181" s="14">
        <v>3</v>
      </c>
      <c r="H181" s="12">
        <f>G181-F181</f>
        <v>0</v>
      </c>
      <c r="I181" s="14" t="s">
        <v>2518</v>
      </c>
      <c r="J181" s="14" t="s">
        <v>2519</v>
      </c>
      <c r="K181" s="14" t="s">
        <v>2520</v>
      </c>
    </row>
    <row r="182" spans="1:11" ht="45" customHeight="1">
      <c r="A182" s="13" t="s">
        <v>2698</v>
      </c>
      <c r="B182" s="13" t="s">
        <v>318</v>
      </c>
      <c r="C182" s="13" t="s">
        <v>1675</v>
      </c>
      <c r="D182" s="13" t="s">
        <v>492</v>
      </c>
      <c r="E182" s="13" t="s">
        <v>729</v>
      </c>
      <c r="F182" s="13">
        <v>3</v>
      </c>
      <c r="G182" s="13">
        <v>3</v>
      </c>
      <c r="H182" s="11">
        <f>G182-F182</f>
        <v>0</v>
      </c>
      <c r="I182" s="13" t="s">
        <v>2518</v>
      </c>
      <c r="J182" s="13" t="s">
        <v>2519</v>
      </c>
      <c r="K182" s="13" t="s">
        <v>2520</v>
      </c>
    </row>
    <row r="183" spans="1:11" ht="45" customHeight="1">
      <c r="A183" s="14" t="s">
        <v>2699</v>
      </c>
      <c r="B183" s="14" t="s">
        <v>318</v>
      </c>
      <c r="C183" s="14" t="s">
        <v>1675</v>
      </c>
      <c r="D183" s="14" t="s">
        <v>492</v>
      </c>
      <c r="E183" s="14" t="s">
        <v>730</v>
      </c>
      <c r="F183" s="14">
        <v>2</v>
      </c>
      <c r="G183" s="14">
        <v>2</v>
      </c>
      <c r="H183" s="12">
        <f>G183-F183</f>
        <v>0</v>
      </c>
      <c r="I183" s="14" t="s">
        <v>2518</v>
      </c>
      <c r="J183" s="14" t="s">
        <v>2519</v>
      </c>
      <c r="K183" s="14" t="s">
        <v>2520</v>
      </c>
    </row>
    <row r="184" spans="1:11" ht="45" customHeight="1">
      <c r="A184" s="13" t="s">
        <v>2700</v>
      </c>
      <c r="B184" s="13" t="s">
        <v>318</v>
      </c>
      <c r="C184" s="13" t="s">
        <v>1679</v>
      </c>
      <c r="D184" s="13" t="s">
        <v>497</v>
      </c>
      <c r="E184" s="13" t="s">
        <v>678</v>
      </c>
      <c r="F184" s="13">
        <v>1</v>
      </c>
      <c r="G184" s="13">
        <v>1</v>
      </c>
      <c r="H184" s="11">
        <f>G184-F184</f>
        <v>0</v>
      </c>
      <c r="I184" s="13" t="s">
        <v>2518</v>
      </c>
      <c r="J184" s="13" t="s">
        <v>2519</v>
      </c>
      <c r="K184" s="13" t="s">
        <v>2520</v>
      </c>
    </row>
    <row r="185" spans="1:11" ht="45" customHeight="1">
      <c r="A185" s="14" t="s">
        <v>2701</v>
      </c>
      <c r="B185" s="14" t="s">
        <v>318</v>
      </c>
      <c r="C185" s="14" t="s">
        <v>1679</v>
      </c>
      <c r="D185" s="14" t="s">
        <v>497</v>
      </c>
      <c r="E185" s="14" t="s">
        <v>683</v>
      </c>
      <c r="F185" s="14">
        <v>1</v>
      </c>
      <c r="G185" s="14">
        <v>1</v>
      </c>
      <c r="H185" s="12">
        <f>G185-F185</f>
        <v>0</v>
      </c>
      <c r="I185" s="14" t="s">
        <v>2518</v>
      </c>
      <c r="J185" s="14" t="s">
        <v>2519</v>
      </c>
      <c r="K185" s="14" t="s">
        <v>2520</v>
      </c>
    </row>
    <row r="186" spans="1:11" ht="45" customHeight="1">
      <c r="A186" s="13" t="s">
        <v>2702</v>
      </c>
      <c r="B186" s="13" t="s">
        <v>318</v>
      </c>
      <c r="C186" s="13" t="s">
        <v>1679</v>
      </c>
      <c r="D186" s="13" t="s">
        <v>497</v>
      </c>
      <c r="E186" s="13" t="s">
        <v>690</v>
      </c>
      <c r="F186" s="13">
        <v>1</v>
      </c>
      <c r="G186" s="13">
        <v>2</v>
      </c>
      <c r="H186" s="11">
        <f>G186-F186</f>
        <v>1</v>
      </c>
      <c r="I186" s="13" t="s">
        <v>2518</v>
      </c>
      <c r="J186" s="13" t="s">
        <v>2519</v>
      </c>
      <c r="K186" s="13" t="s">
        <v>2520</v>
      </c>
    </row>
    <row r="187" spans="1:11" ht="45" customHeight="1">
      <c r="A187" s="14" t="s">
        <v>2703</v>
      </c>
      <c r="B187" s="14" t="s">
        <v>318</v>
      </c>
      <c r="C187" s="14" t="s">
        <v>1679</v>
      </c>
      <c r="D187" s="14" t="s">
        <v>497</v>
      </c>
      <c r="E187" s="14" t="s">
        <v>697</v>
      </c>
      <c r="F187" s="14">
        <v>1</v>
      </c>
      <c r="G187" s="14">
        <v>1</v>
      </c>
      <c r="H187" s="12">
        <f>G187-F187</f>
        <v>0</v>
      </c>
      <c r="I187" s="14" t="s">
        <v>2518</v>
      </c>
      <c r="J187" s="14" t="s">
        <v>2519</v>
      </c>
      <c r="K187" s="14" t="s">
        <v>2520</v>
      </c>
    </row>
    <row r="188" spans="1:11" ht="45" customHeight="1">
      <c r="A188" s="13" t="s">
        <v>2704</v>
      </c>
      <c r="B188" s="13" t="s">
        <v>318</v>
      </c>
      <c r="C188" s="13" t="s">
        <v>1679</v>
      </c>
      <c r="D188" s="13" t="s">
        <v>497</v>
      </c>
      <c r="E188" s="13" t="s">
        <v>704</v>
      </c>
      <c r="F188" s="13">
        <v>1</v>
      </c>
      <c r="G188" s="13">
        <v>1</v>
      </c>
      <c r="H188" s="11">
        <f>G188-F188</f>
        <v>0</v>
      </c>
      <c r="I188" s="13" t="s">
        <v>2518</v>
      </c>
      <c r="J188" s="13" t="s">
        <v>2519</v>
      </c>
      <c r="K188" s="13" t="s">
        <v>2520</v>
      </c>
    </row>
    <row r="189" spans="1:11" ht="45" customHeight="1">
      <c r="A189" s="14" t="s">
        <v>2705</v>
      </c>
      <c r="B189" s="14" t="s">
        <v>318</v>
      </c>
      <c r="C189" s="14" t="s">
        <v>1679</v>
      </c>
      <c r="D189" s="14" t="s">
        <v>497</v>
      </c>
      <c r="E189" s="14" t="s">
        <v>711</v>
      </c>
      <c r="F189" s="14">
        <v>1</v>
      </c>
      <c r="G189" s="14">
        <v>1</v>
      </c>
      <c r="H189" s="12">
        <f>G189-F189</f>
        <v>0</v>
      </c>
      <c r="I189" s="14" t="s">
        <v>2518</v>
      </c>
      <c r="J189" s="14" t="s">
        <v>2519</v>
      </c>
      <c r="K189" s="14" t="s">
        <v>2520</v>
      </c>
    </row>
    <row r="190" spans="1:11" ht="45" customHeight="1">
      <c r="A190" s="13" t="s">
        <v>2706</v>
      </c>
      <c r="B190" s="13" t="s">
        <v>318</v>
      </c>
      <c r="C190" s="13" t="s">
        <v>1679</v>
      </c>
      <c r="D190" s="13" t="s">
        <v>497</v>
      </c>
      <c r="E190" s="13" t="s">
        <v>718</v>
      </c>
      <c r="F190" s="13">
        <v>1</v>
      </c>
      <c r="G190" s="13">
        <v>1</v>
      </c>
      <c r="H190" s="11">
        <f>G190-F190</f>
        <v>0</v>
      </c>
      <c r="I190" s="13" t="s">
        <v>2518</v>
      </c>
      <c r="J190" s="13" t="s">
        <v>2519</v>
      </c>
      <c r="K190" s="13" t="s">
        <v>2520</v>
      </c>
    </row>
    <row r="191" spans="1:11" ht="45" customHeight="1">
      <c r="A191" s="14" t="s">
        <v>2707</v>
      </c>
      <c r="B191" s="14" t="s">
        <v>318</v>
      </c>
      <c r="C191" s="14" t="s">
        <v>1679</v>
      </c>
      <c r="D191" s="14" t="s">
        <v>497</v>
      </c>
      <c r="E191" s="14" t="s">
        <v>725</v>
      </c>
      <c r="F191" s="14">
        <v>1</v>
      </c>
      <c r="G191" s="14">
        <v>2</v>
      </c>
      <c r="H191" s="12">
        <f>G191-F191</f>
        <v>1</v>
      </c>
      <c r="I191" s="14" t="s">
        <v>2518</v>
      </c>
      <c r="J191" s="14" t="s">
        <v>2519</v>
      </c>
      <c r="K191" s="14" t="s">
        <v>2520</v>
      </c>
    </row>
    <row r="192" spans="1:11" ht="45" customHeight="1">
      <c r="A192" s="13" t="s">
        <v>2708</v>
      </c>
      <c r="B192" s="13" t="s">
        <v>318</v>
      </c>
      <c r="C192" s="13" t="s">
        <v>1679</v>
      </c>
      <c r="D192" s="13" t="s">
        <v>497</v>
      </c>
      <c r="E192" s="13" t="s">
        <v>729</v>
      </c>
      <c r="F192" s="13">
        <v>1</v>
      </c>
      <c r="G192" s="13">
        <v>1</v>
      </c>
      <c r="H192" s="11">
        <f>G192-F192</f>
        <v>0</v>
      </c>
      <c r="I192" s="13" t="s">
        <v>2518</v>
      </c>
      <c r="J192" s="13" t="s">
        <v>2519</v>
      </c>
      <c r="K192" s="13" t="s">
        <v>2520</v>
      </c>
    </row>
    <row r="193" spans="1:11" ht="45" customHeight="1">
      <c r="A193" s="14" t="s">
        <v>2709</v>
      </c>
      <c r="B193" s="14" t="s">
        <v>318</v>
      </c>
      <c r="C193" s="14" t="s">
        <v>1679</v>
      </c>
      <c r="D193" s="14" t="s">
        <v>497</v>
      </c>
      <c r="E193" s="14" t="s">
        <v>730</v>
      </c>
      <c r="F193" s="14">
        <v>1</v>
      </c>
      <c r="G193" s="14">
        <v>1</v>
      </c>
      <c r="H193" s="12">
        <f>G193-F193</f>
        <v>0</v>
      </c>
      <c r="I193" s="14" t="s">
        <v>2518</v>
      </c>
      <c r="J193" s="14" t="s">
        <v>2519</v>
      </c>
      <c r="K193" s="14" t="s">
        <v>2520</v>
      </c>
    </row>
    <row r="194" spans="1:11" ht="45" customHeight="1">
      <c r="A194" s="13" t="s">
        <v>2710</v>
      </c>
      <c r="B194" s="13" t="s">
        <v>318</v>
      </c>
      <c r="C194" s="13" t="s">
        <v>1684</v>
      </c>
      <c r="D194" s="13" t="s">
        <v>497</v>
      </c>
      <c r="E194" s="13" t="s">
        <v>678</v>
      </c>
      <c r="F194" s="13">
        <v>4</v>
      </c>
      <c r="G194" s="13">
        <v>4</v>
      </c>
      <c r="H194" s="11">
        <f>G194-F194</f>
        <v>0</v>
      </c>
      <c r="I194" s="13" t="s">
        <v>2518</v>
      </c>
      <c r="J194" s="13" t="s">
        <v>2519</v>
      </c>
      <c r="K194" s="13" t="s">
        <v>2520</v>
      </c>
    </row>
    <row r="195" spans="1:11" ht="45" customHeight="1">
      <c r="A195" s="14" t="s">
        <v>2711</v>
      </c>
      <c r="B195" s="14" t="s">
        <v>318</v>
      </c>
      <c r="C195" s="14" t="s">
        <v>1684</v>
      </c>
      <c r="D195" s="14" t="s">
        <v>497</v>
      </c>
      <c r="E195" s="14" t="s">
        <v>683</v>
      </c>
      <c r="F195" s="14">
        <v>3</v>
      </c>
      <c r="G195" s="14">
        <v>4</v>
      </c>
      <c r="H195" s="12">
        <f>G195-F195</f>
        <v>1</v>
      </c>
      <c r="I195" s="14" t="s">
        <v>2518</v>
      </c>
      <c r="J195" s="14" t="s">
        <v>2519</v>
      </c>
      <c r="K195" s="14" t="s">
        <v>2520</v>
      </c>
    </row>
    <row r="196" spans="1:11" ht="45" customHeight="1">
      <c r="A196" s="13" t="s">
        <v>2712</v>
      </c>
      <c r="B196" s="13" t="s">
        <v>318</v>
      </c>
      <c r="C196" s="13" t="s">
        <v>1684</v>
      </c>
      <c r="D196" s="13" t="s">
        <v>497</v>
      </c>
      <c r="E196" s="13" t="s">
        <v>690</v>
      </c>
      <c r="F196" s="13">
        <v>4</v>
      </c>
      <c r="G196" s="13">
        <v>4</v>
      </c>
      <c r="H196" s="11">
        <f>G196-F196</f>
        <v>0</v>
      </c>
      <c r="I196" s="13" t="s">
        <v>2518</v>
      </c>
      <c r="J196" s="13" t="s">
        <v>2519</v>
      </c>
      <c r="K196" s="13" t="s">
        <v>2520</v>
      </c>
    </row>
    <row r="197" spans="1:11" ht="45" customHeight="1">
      <c r="A197" s="14" t="s">
        <v>2713</v>
      </c>
      <c r="B197" s="14" t="s">
        <v>318</v>
      </c>
      <c r="C197" s="14" t="s">
        <v>1684</v>
      </c>
      <c r="D197" s="14" t="s">
        <v>497</v>
      </c>
      <c r="E197" s="14" t="s">
        <v>697</v>
      </c>
      <c r="F197" s="14">
        <v>2</v>
      </c>
      <c r="G197" s="14">
        <v>3</v>
      </c>
      <c r="H197" s="12">
        <f>G197-F197</f>
        <v>1</v>
      </c>
      <c r="I197" s="14" t="s">
        <v>2518</v>
      </c>
      <c r="J197" s="14" t="s">
        <v>2519</v>
      </c>
      <c r="K197" s="14" t="s">
        <v>2520</v>
      </c>
    </row>
    <row r="198" spans="1:11" ht="45" customHeight="1">
      <c r="A198" s="13" t="s">
        <v>2714</v>
      </c>
      <c r="B198" s="13" t="s">
        <v>318</v>
      </c>
      <c r="C198" s="13" t="s">
        <v>1684</v>
      </c>
      <c r="D198" s="13" t="s">
        <v>497</v>
      </c>
      <c r="E198" s="13" t="s">
        <v>704</v>
      </c>
      <c r="F198" s="13">
        <v>3</v>
      </c>
      <c r="G198" s="13">
        <v>4</v>
      </c>
      <c r="H198" s="11">
        <f>G198-F198</f>
        <v>1</v>
      </c>
      <c r="I198" s="13" t="s">
        <v>2518</v>
      </c>
      <c r="J198" s="13" t="s">
        <v>2519</v>
      </c>
      <c r="K198" s="13" t="s">
        <v>2520</v>
      </c>
    </row>
    <row r="199" spans="1:11" ht="45" customHeight="1">
      <c r="A199" s="14" t="s">
        <v>2715</v>
      </c>
      <c r="B199" s="14" t="s">
        <v>318</v>
      </c>
      <c r="C199" s="14" t="s">
        <v>1684</v>
      </c>
      <c r="D199" s="14" t="s">
        <v>497</v>
      </c>
      <c r="E199" s="14" t="s">
        <v>711</v>
      </c>
      <c r="F199" s="14">
        <v>3</v>
      </c>
      <c r="G199" s="14">
        <v>4</v>
      </c>
      <c r="H199" s="12">
        <f>G199-F199</f>
        <v>1</v>
      </c>
      <c r="I199" s="14" t="s">
        <v>2518</v>
      </c>
      <c r="J199" s="14" t="s">
        <v>2519</v>
      </c>
      <c r="K199" s="14" t="s">
        <v>2520</v>
      </c>
    </row>
    <row r="200" spans="1:11" ht="45" customHeight="1">
      <c r="A200" s="13" t="s">
        <v>2716</v>
      </c>
      <c r="B200" s="13" t="s">
        <v>318</v>
      </c>
      <c r="C200" s="13" t="s">
        <v>1684</v>
      </c>
      <c r="D200" s="13" t="s">
        <v>497</v>
      </c>
      <c r="E200" s="13" t="s">
        <v>718</v>
      </c>
      <c r="F200" s="13">
        <v>3</v>
      </c>
      <c r="G200" s="13">
        <v>4</v>
      </c>
      <c r="H200" s="11">
        <f>G200-F200</f>
        <v>1</v>
      </c>
      <c r="I200" s="13" t="s">
        <v>2518</v>
      </c>
      <c r="J200" s="13" t="s">
        <v>2519</v>
      </c>
      <c r="K200" s="13" t="s">
        <v>2520</v>
      </c>
    </row>
    <row r="201" spans="1:11" ht="45" customHeight="1">
      <c r="A201" s="14" t="s">
        <v>2717</v>
      </c>
      <c r="B201" s="14" t="s">
        <v>318</v>
      </c>
      <c r="C201" s="14" t="s">
        <v>1684</v>
      </c>
      <c r="D201" s="14" t="s">
        <v>497</v>
      </c>
      <c r="E201" s="14" t="s">
        <v>725</v>
      </c>
      <c r="F201" s="14">
        <v>3</v>
      </c>
      <c r="G201" s="14">
        <v>4</v>
      </c>
      <c r="H201" s="12">
        <f>G201-F201</f>
        <v>1</v>
      </c>
      <c r="I201" s="14" t="s">
        <v>2518</v>
      </c>
      <c r="J201" s="14" t="s">
        <v>2519</v>
      </c>
      <c r="K201" s="14" t="s">
        <v>2520</v>
      </c>
    </row>
    <row r="202" spans="1:11" ht="45" customHeight="1">
      <c r="A202" s="13" t="s">
        <v>2718</v>
      </c>
      <c r="B202" s="13" t="s">
        <v>318</v>
      </c>
      <c r="C202" s="13" t="s">
        <v>1684</v>
      </c>
      <c r="D202" s="13" t="s">
        <v>497</v>
      </c>
      <c r="E202" s="13" t="s">
        <v>729</v>
      </c>
      <c r="F202" s="13">
        <v>4</v>
      </c>
      <c r="G202" s="13">
        <v>4</v>
      </c>
      <c r="H202" s="11">
        <f>G202-F202</f>
        <v>0</v>
      </c>
      <c r="I202" s="13" t="s">
        <v>2518</v>
      </c>
      <c r="J202" s="13" t="s">
        <v>2519</v>
      </c>
      <c r="K202" s="13" t="s">
        <v>2520</v>
      </c>
    </row>
    <row r="203" spans="1:11" ht="45" customHeight="1">
      <c r="A203" s="14" t="s">
        <v>2719</v>
      </c>
      <c r="B203" s="14" t="s">
        <v>318</v>
      </c>
      <c r="C203" s="14" t="s">
        <v>1684</v>
      </c>
      <c r="D203" s="14" t="s">
        <v>497</v>
      </c>
      <c r="E203" s="14" t="s">
        <v>730</v>
      </c>
      <c r="F203" s="14">
        <v>2</v>
      </c>
      <c r="G203" s="14">
        <v>3</v>
      </c>
      <c r="H203" s="12">
        <f>G203-F203</f>
        <v>1</v>
      </c>
      <c r="I203" s="14" t="s">
        <v>2518</v>
      </c>
      <c r="J203" s="14" t="s">
        <v>2519</v>
      </c>
      <c r="K203" s="14" t="s">
        <v>2520</v>
      </c>
    </row>
    <row r="204" spans="1:11" ht="45" customHeight="1">
      <c r="A204" s="13" t="s">
        <v>2720</v>
      </c>
      <c r="B204" s="13" t="s">
        <v>318</v>
      </c>
      <c r="C204" s="13" t="s">
        <v>1686</v>
      </c>
      <c r="D204" s="13" t="s">
        <v>497</v>
      </c>
      <c r="E204" s="13" t="s">
        <v>678</v>
      </c>
      <c r="F204" s="13">
        <v>3</v>
      </c>
      <c r="G204" s="13">
        <v>4</v>
      </c>
      <c r="H204" s="11">
        <f>G204-F204</f>
        <v>1</v>
      </c>
      <c r="I204" s="13" t="s">
        <v>2518</v>
      </c>
      <c r="J204" s="13" t="s">
        <v>2519</v>
      </c>
      <c r="K204" s="13" t="s">
        <v>2520</v>
      </c>
    </row>
    <row r="205" spans="1:11" ht="45" customHeight="1">
      <c r="A205" s="14" t="s">
        <v>2721</v>
      </c>
      <c r="B205" s="14" t="s">
        <v>318</v>
      </c>
      <c r="C205" s="14" t="s">
        <v>1686</v>
      </c>
      <c r="D205" s="14" t="s">
        <v>497</v>
      </c>
      <c r="E205" s="14" t="s">
        <v>683</v>
      </c>
      <c r="F205" s="14">
        <v>3</v>
      </c>
      <c r="G205" s="14">
        <v>3</v>
      </c>
      <c r="H205" s="12">
        <f>G205-F205</f>
        <v>0</v>
      </c>
      <c r="I205" s="14" t="s">
        <v>2518</v>
      </c>
      <c r="J205" s="14" t="s">
        <v>2519</v>
      </c>
      <c r="K205" s="14" t="s">
        <v>2520</v>
      </c>
    </row>
    <row r="206" spans="1:11" ht="45" customHeight="1">
      <c r="A206" s="13" t="s">
        <v>2722</v>
      </c>
      <c r="B206" s="13" t="s">
        <v>318</v>
      </c>
      <c r="C206" s="13" t="s">
        <v>1686</v>
      </c>
      <c r="D206" s="13" t="s">
        <v>497</v>
      </c>
      <c r="E206" s="13" t="s">
        <v>690</v>
      </c>
      <c r="F206" s="13">
        <v>3</v>
      </c>
      <c r="G206" s="13">
        <v>3</v>
      </c>
      <c r="H206" s="11">
        <f>G206-F206</f>
        <v>0</v>
      </c>
      <c r="I206" s="13" t="s">
        <v>2518</v>
      </c>
      <c r="J206" s="13" t="s">
        <v>2519</v>
      </c>
      <c r="K206" s="13" t="s">
        <v>2520</v>
      </c>
    </row>
    <row r="207" spans="1:11" ht="45" customHeight="1">
      <c r="A207" s="14" t="s">
        <v>2723</v>
      </c>
      <c r="B207" s="14" t="s">
        <v>318</v>
      </c>
      <c r="C207" s="14" t="s">
        <v>1686</v>
      </c>
      <c r="D207" s="14" t="s">
        <v>497</v>
      </c>
      <c r="E207" s="14" t="s">
        <v>697</v>
      </c>
      <c r="F207" s="14">
        <v>2</v>
      </c>
      <c r="G207" s="14">
        <v>3</v>
      </c>
      <c r="H207" s="12">
        <f>G207-F207</f>
        <v>1</v>
      </c>
      <c r="I207" s="14" t="s">
        <v>2518</v>
      </c>
      <c r="J207" s="14" t="s">
        <v>2519</v>
      </c>
      <c r="K207" s="14" t="s">
        <v>2520</v>
      </c>
    </row>
    <row r="208" spans="1:11" ht="45" customHeight="1">
      <c r="A208" s="13" t="s">
        <v>2724</v>
      </c>
      <c r="B208" s="13" t="s">
        <v>318</v>
      </c>
      <c r="C208" s="13" t="s">
        <v>1686</v>
      </c>
      <c r="D208" s="13" t="s">
        <v>497</v>
      </c>
      <c r="E208" s="13" t="s">
        <v>704</v>
      </c>
      <c r="F208" s="13">
        <v>4</v>
      </c>
      <c r="G208" s="13">
        <v>4</v>
      </c>
      <c r="H208" s="11">
        <f>G208-F208</f>
        <v>0</v>
      </c>
      <c r="I208" s="13" t="s">
        <v>2518</v>
      </c>
      <c r="J208" s="13" t="s">
        <v>2519</v>
      </c>
      <c r="K208" s="13" t="s">
        <v>2520</v>
      </c>
    </row>
    <row r="209" spans="1:11" ht="45" customHeight="1">
      <c r="A209" s="14" t="s">
        <v>2725</v>
      </c>
      <c r="B209" s="14" t="s">
        <v>318</v>
      </c>
      <c r="C209" s="14" t="s">
        <v>1686</v>
      </c>
      <c r="D209" s="14" t="s">
        <v>497</v>
      </c>
      <c r="E209" s="14" t="s">
        <v>711</v>
      </c>
      <c r="F209" s="14">
        <v>4</v>
      </c>
      <c r="G209" s="14">
        <v>4</v>
      </c>
      <c r="H209" s="12">
        <f>G209-F209</f>
        <v>0</v>
      </c>
      <c r="I209" s="14" t="s">
        <v>2518</v>
      </c>
      <c r="J209" s="14" t="s">
        <v>2519</v>
      </c>
      <c r="K209" s="14" t="s">
        <v>2520</v>
      </c>
    </row>
    <row r="210" spans="1:11" ht="45" customHeight="1">
      <c r="A210" s="13" t="s">
        <v>2726</v>
      </c>
      <c r="B210" s="13" t="s">
        <v>318</v>
      </c>
      <c r="C210" s="13" t="s">
        <v>1686</v>
      </c>
      <c r="D210" s="13" t="s">
        <v>497</v>
      </c>
      <c r="E210" s="13" t="s">
        <v>718</v>
      </c>
      <c r="F210" s="13">
        <v>3</v>
      </c>
      <c r="G210" s="13">
        <v>3</v>
      </c>
      <c r="H210" s="11">
        <f>G210-F210</f>
        <v>0</v>
      </c>
      <c r="I210" s="13" t="s">
        <v>2518</v>
      </c>
      <c r="J210" s="13" t="s">
        <v>2519</v>
      </c>
      <c r="K210" s="13" t="s">
        <v>2520</v>
      </c>
    </row>
    <row r="211" spans="1:11" ht="45" customHeight="1">
      <c r="A211" s="14" t="s">
        <v>2727</v>
      </c>
      <c r="B211" s="14" t="s">
        <v>318</v>
      </c>
      <c r="C211" s="14" t="s">
        <v>1686</v>
      </c>
      <c r="D211" s="14" t="s">
        <v>497</v>
      </c>
      <c r="E211" s="14" t="s">
        <v>725</v>
      </c>
      <c r="F211" s="14">
        <v>4</v>
      </c>
      <c r="G211" s="14">
        <v>4</v>
      </c>
      <c r="H211" s="12">
        <f>G211-F211</f>
        <v>0</v>
      </c>
      <c r="I211" s="14" t="s">
        <v>2518</v>
      </c>
      <c r="J211" s="14" t="s">
        <v>2519</v>
      </c>
      <c r="K211" s="14" t="s">
        <v>2520</v>
      </c>
    </row>
    <row r="212" spans="1:11" ht="45" customHeight="1">
      <c r="A212" s="13" t="s">
        <v>2728</v>
      </c>
      <c r="B212" s="13" t="s">
        <v>318</v>
      </c>
      <c r="C212" s="13" t="s">
        <v>1686</v>
      </c>
      <c r="D212" s="13" t="s">
        <v>497</v>
      </c>
      <c r="E212" s="13" t="s">
        <v>729</v>
      </c>
      <c r="F212" s="13">
        <v>4</v>
      </c>
      <c r="G212" s="13">
        <v>4</v>
      </c>
      <c r="H212" s="11">
        <f>G212-F212</f>
        <v>0</v>
      </c>
      <c r="I212" s="13" t="s">
        <v>2518</v>
      </c>
      <c r="J212" s="13" t="s">
        <v>2519</v>
      </c>
      <c r="K212" s="13" t="s">
        <v>2520</v>
      </c>
    </row>
    <row r="213" spans="1:11" ht="45" customHeight="1">
      <c r="A213" s="14" t="s">
        <v>2729</v>
      </c>
      <c r="B213" s="14" t="s">
        <v>318</v>
      </c>
      <c r="C213" s="14" t="s">
        <v>1686</v>
      </c>
      <c r="D213" s="14" t="s">
        <v>497</v>
      </c>
      <c r="E213" s="14" t="s">
        <v>730</v>
      </c>
      <c r="F213" s="14">
        <v>4</v>
      </c>
      <c r="G213" s="14">
        <v>4</v>
      </c>
      <c r="H213" s="12">
        <f>G213-F213</f>
        <v>0</v>
      </c>
      <c r="I213" s="14" t="s">
        <v>2518</v>
      </c>
      <c r="J213" s="14" t="s">
        <v>2519</v>
      </c>
      <c r="K213" s="14" t="s">
        <v>2520</v>
      </c>
    </row>
    <row r="214" spans="1:11" ht="45" customHeight="1">
      <c r="A214" s="13" t="s">
        <v>2730</v>
      </c>
      <c r="B214" s="13" t="s">
        <v>318</v>
      </c>
      <c r="C214" s="13" t="s">
        <v>1688</v>
      </c>
      <c r="D214" s="13" t="s">
        <v>497</v>
      </c>
      <c r="E214" s="13" t="s">
        <v>678</v>
      </c>
      <c r="F214" s="13">
        <v>3</v>
      </c>
      <c r="G214" s="13">
        <v>3</v>
      </c>
      <c r="H214" s="11">
        <f>G214-F214</f>
        <v>0</v>
      </c>
      <c r="I214" s="13" t="s">
        <v>2518</v>
      </c>
      <c r="J214" s="13" t="s">
        <v>2519</v>
      </c>
      <c r="K214" s="13" t="s">
        <v>2520</v>
      </c>
    </row>
    <row r="215" spans="1:11" ht="45" customHeight="1">
      <c r="A215" s="14" t="s">
        <v>2731</v>
      </c>
      <c r="B215" s="14" t="s">
        <v>318</v>
      </c>
      <c r="C215" s="14" t="s">
        <v>1688</v>
      </c>
      <c r="D215" s="14" t="s">
        <v>497</v>
      </c>
      <c r="E215" s="14" t="s">
        <v>683</v>
      </c>
      <c r="F215" s="14">
        <v>4</v>
      </c>
      <c r="G215" s="14">
        <v>4</v>
      </c>
      <c r="H215" s="12">
        <f>G215-F215</f>
        <v>0</v>
      </c>
      <c r="I215" s="14" t="s">
        <v>2518</v>
      </c>
      <c r="J215" s="14" t="s">
        <v>2519</v>
      </c>
      <c r="K215" s="14" t="s">
        <v>2520</v>
      </c>
    </row>
    <row r="216" spans="1:11" ht="45" customHeight="1">
      <c r="A216" s="13" t="s">
        <v>2732</v>
      </c>
      <c r="B216" s="13" t="s">
        <v>318</v>
      </c>
      <c r="C216" s="13" t="s">
        <v>1688</v>
      </c>
      <c r="D216" s="13" t="s">
        <v>497</v>
      </c>
      <c r="E216" s="13" t="s">
        <v>690</v>
      </c>
      <c r="F216" s="13">
        <v>3</v>
      </c>
      <c r="G216" s="13">
        <v>3</v>
      </c>
      <c r="H216" s="11">
        <f>G216-F216</f>
        <v>0</v>
      </c>
      <c r="I216" s="13" t="s">
        <v>2518</v>
      </c>
      <c r="J216" s="13" t="s">
        <v>2519</v>
      </c>
      <c r="K216" s="13" t="s">
        <v>2520</v>
      </c>
    </row>
    <row r="217" spans="1:11" ht="45" customHeight="1">
      <c r="A217" s="14" t="s">
        <v>2733</v>
      </c>
      <c r="B217" s="14" t="s">
        <v>318</v>
      </c>
      <c r="C217" s="14" t="s">
        <v>1688</v>
      </c>
      <c r="D217" s="14" t="s">
        <v>497</v>
      </c>
      <c r="E217" s="14" t="s">
        <v>697</v>
      </c>
      <c r="F217" s="14">
        <v>3</v>
      </c>
      <c r="G217" s="14">
        <v>4</v>
      </c>
      <c r="H217" s="12">
        <f>G217-F217</f>
        <v>1</v>
      </c>
      <c r="I217" s="14" t="s">
        <v>2518</v>
      </c>
      <c r="J217" s="14" t="s">
        <v>2519</v>
      </c>
      <c r="K217" s="14" t="s">
        <v>2520</v>
      </c>
    </row>
    <row r="218" spans="1:11" ht="45" customHeight="1">
      <c r="A218" s="13" t="s">
        <v>2734</v>
      </c>
      <c r="B218" s="13" t="s">
        <v>318</v>
      </c>
      <c r="C218" s="13" t="s">
        <v>1688</v>
      </c>
      <c r="D218" s="13" t="s">
        <v>497</v>
      </c>
      <c r="E218" s="13" t="s">
        <v>704</v>
      </c>
      <c r="F218" s="13">
        <v>3</v>
      </c>
      <c r="G218" s="13">
        <v>3</v>
      </c>
      <c r="H218" s="11">
        <f>G218-F218</f>
        <v>0</v>
      </c>
      <c r="I218" s="13" t="s">
        <v>2518</v>
      </c>
      <c r="J218" s="13" t="s">
        <v>2519</v>
      </c>
      <c r="K218" s="13" t="s">
        <v>2520</v>
      </c>
    </row>
    <row r="219" spans="1:11" ht="45" customHeight="1">
      <c r="A219" s="14" t="s">
        <v>2735</v>
      </c>
      <c r="B219" s="14" t="s">
        <v>318</v>
      </c>
      <c r="C219" s="14" t="s">
        <v>1688</v>
      </c>
      <c r="D219" s="14" t="s">
        <v>497</v>
      </c>
      <c r="E219" s="14" t="s">
        <v>711</v>
      </c>
      <c r="F219" s="14">
        <v>3</v>
      </c>
      <c r="G219" s="14">
        <v>4</v>
      </c>
      <c r="H219" s="12">
        <f>G219-F219</f>
        <v>1</v>
      </c>
      <c r="I219" s="14" t="s">
        <v>2518</v>
      </c>
      <c r="J219" s="14" t="s">
        <v>2519</v>
      </c>
      <c r="K219" s="14" t="s">
        <v>2520</v>
      </c>
    </row>
    <row r="220" spans="1:11" ht="45" customHeight="1">
      <c r="A220" s="13" t="s">
        <v>2736</v>
      </c>
      <c r="B220" s="13" t="s">
        <v>318</v>
      </c>
      <c r="C220" s="13" t="s">
        <v>1688</v>
      </c>
      <c r="D220" s="13" t="s">
        <v>497</v>
      </c>
      <c r="E220" s="13" t="s">
        <v>718</v>
      </c>
      <c r="F220" s="13">
        <v>4</v>
      </c>
      <c r="G220" s="13">
        <v>4</v>
      </c>
      <c r="H220" s="11">
        <f>G220-F220</f>
        <v>0</v>
      </c>
      <c r="I220" s="13" t="s">
        <v>2518</v>
      </c>
      <c r="J220" s="13" t="s">
        <v>2519</v>
      </c>
      <c r="K220" s="13" t="s">
        <v>2520</v>
      </c>
    </row>
    <row r="221" spans="1:11" ht="45" customHeight="1">
      <c r="A221" s="14" t="s">
        <v>2737</v>
      </c>
      <c r="B221" s="14" t="s">
        <v>318</v>
      </c>
      <c r="C221" s="14" t="s">
        <v>1688</v>
      </c>
      <c r="D221" s="14" t="s">
        <v>497</v>
      </c>
      <c r="E221" s="14" t="s">
        <v>725</v>
      </c>
      <c r="F221" s="14">
        <v>2</v>
      </c>
      <c r="G221" s="14">
        <v>3</v>
      </c>
      <c r="H221" s="12">
        <f>G221-F221</f>
        <v>1</v>
      </c>
      <c r="I221" s="14" t="s">
        <v>2518</v>
      </c>
      <c r="J221" s="14" t="s">
        <v>2519</v>
      </c>
      <c r="K221" s="14" t="s">
        <v>2520</v>
      </c>
    </row>
    <row r="222" spans="1:11" ht="45" customHeight="1">
      <c r="A222" s="13" t="s">
        <v>2738</v>
      </c>
      <c r="B222" s="13" t="s">
        <v>318</v>
      </c>
      <c r="C222" s="13" t="s">
        <v>1688</v>
      </c>
      <c r="D222" s="13" t="s">
        <v>497</v>
      </c>
      <c r="E222" s="13" t="s">
        <v>729</v>
      </c>
      <c r="F222" s="13">
        <v>2</v>
      </c>
      <c r="G222" s="13">
        <v>3</v>
      </c>
      <c r="H222" s="11">
        <f>G222-F222</f>
        <v>1</v>
      </c>
      <c r="I222" s="13" t="s">
        <v>2518</v>
      </c>
      <c r="J222" s="13" t="s">
        <v>2519</v>
      </c>
      <c r="K222" s="13" t="s">
        <v>2520</v>
      </c>
    </row>
    <row r="223" spans="1:11" ht="45" customHeight="1">
      <c r="A223" s="14" t="s">
        <v>2739</v>
      </c>
      <c r="B223" s="14" t="s">
        <v>318</v>
      </c>
      <c r="C223" s="14" t="s">
        <v>1688</v>
      </c>
      <c r="D223" s="14" t="s">
        <v>497</v>
      </c>
      <c r="E223" s="14" t="s">
        <v>730</v>
      </c>
      <c r="F223" s="14">
        <v>4</v>
      </c>
      <c r="G223" s="14">
        <v>4</v>
      </c>
      <c r="H223" s="12">
        <f>G223-F223</f>
        <v>0</v>
      </c>
      <c r="I223" s="14" t="s">
        <v>2518</v>
      </c>
      <c r="J223" s="14" t="s">
        <v>2519</v>
      </c>
      <c r="K223" s="14" t="s">
        <v>2520</v>
      </c>
    </row>
    <row r="224" spans="1:11" ht="45" customHeight="1">
      <c r="A224" s="13" t="s">
        <v>2740</v>
      </c>
      <c r="B224" s="13" t="s">
        <v>318</v>
      </c>
      <c r="C224" s="13" t="s">
        <v>1690</v>
      </c>
      <c r="D224" s="13" t="s">
        <v>500</v>
      </c>
      <c r="E224" s="13" t="s">
        <v>678</v>
      </c>
      <c r="F224" s="13">
        <v>3</v>
      </c>
      <c r="G224" s="13">
        <v>3</v>
      </c>
      <c r="H224" s="11">
        <f>G224-F224</f>
        <v>0</v>
      </c>
      <c r="I224" s="13" t="s">
        <v>2518</v>
      </c>
      <c r="J224" s="13" t="s">
        <v>2519</v>
      </c>
      <c r="K224" s="13" t="s">
        <v>2520</v>
      </c>
    </row>
    <row r="225" spans="1:11" ht="45" customHeight="1">
      <c r="A225" s="14" t="s">
        <v>2741</v>
      </c>
      <c r="B225" s="14" t="s">
        <v>318</v>
      </c>
      <c r="C225" s="14" t="s">
        <v>1690</v>
      </c>
      <c r="D225" s="14" t="s">
        <v>500</v>
      </c>
      <c r="E225" s="14" t="s">
        <v>683</v>
      </c>
      <c r="F225" s="14">
        <v>2</v>
      </c>
      <c r="G225" s="14">
        <v>3</v>
      </c>
      <c r="H225" s="12">
        <f>G225-F225</f>
        <v>1</v>
      </c>
      <c r="I225" s="14" t="s">
        <v>2518</v>
      </c>
      <c r="J225" s="14" t="s">
        <v>2519</v>
      </c>
      <c r="K225" s="14" t="s">
        <v>2520</v>
      </c>
    </row>
    <row r="226" spans="1:11" ht="45" customHeight="1">
      <c r="A226" s="13" t="s">
        <v>2742</v>
      </c>
      <c r="B226" s="13" t="s">
        <v>318</v>
      </c>
      <c r="C226" s="13" t="s">
        <v>1690</v>
      </c>
      <c r="D226" s="13" t="s">
        <v>500</v>
      </c>
      <c r="E226" s="13" t="s">
        <v>690</v>
      </c>
      <c r="F226" s="13">
        <v>2</v>
      </c>
      <c r="G226" s="13">
        <v>3</v>
      </c>
      <c r="H226" s="11">
        <f>G226-F226</f>
        <v>1</v>
      </c>
      <c r="I226" s="13" t="s">
        <v>2518</v>
      </c>
      <c r="J226" s="13" t="s">
        <v>2519</v>
      </c>
      <c r="K226" s="13" t="s">
        <v>2520</v>
      </c>
    </row>
    <row r="227" spans="1:11" ht="45" customHeight="1">
      <c r="A227" s="14" t="s">
        <v>2743</v>
      </c>
      <c r="B227" s="14" t="s">
        <v>318</v>
      </c>
      <c r="C227" s="14" t="s">
        <v>1690</v>
      </c>
      <c r="D227" s="14" t="s">
        <v>500</v>
      </c>
      <c r="E227" s="14" t="s">
        <v>697</v>
      </c>
      <c r="F227" s="14">
        <v>2</v>
      </c>
      <c r="G227" s="14">
        <v>3</v>
      </c>
      <c r="H227" s="12">
        <f>G227-F227</f>
        <v>1</v>
      </c>
      <c r="I227" s="14" t="s">
        <v>2518</v>
      </c>
      <c r="J227" s="14" t="s">
        <v>2519</v>
      </c>
      <c r="K227" s="14" t="s">
        <v>2520</v>
      </c>
    </row>
    <row r="228" spans="1:11" ht="45" customHeight="1">
      <c r="A228" s="13" t="s">
        <v>2744</v>
      </c>
      <c r="B228" s="13" t="s">
        <v>318</v>
      </c>
      <c r="C228" s="13" t="s">
        <v>1690</v>
      </c>
      <c r="D228" s="13" t="s">
        <v>500</v>
      </c>
      <c r="E228" s="13" t="s">
        <v>704</v>
      </c>
      <c r="F228" s="13">
        <v>2</v>
      </c>
      <c r="G228" s="13">
        <v>3</v>
      </c>
      <c r="H228" s="11">
        <f>G228-F228</f>
        <v>1</v>
      </c>
      <c r="I228" s="13" t="s">
        <v>2518</v>
      </c>
      <c r="J228" s="13" t="s">
        <v>2519</v>
      </c>
      <c r="K228" s="13" t="s">
        <v>2520</v>
      </c>
    </row>
    <row r="229" spans="1:11" ht="45" customHeight="1">
      <c r="A229" s="14" t="s">
        <v>2745</v>
      </c>
      <c r="B229" s="14" t="s">
        <v>318</v>
      </c>
      <c r="C229" s="14" t="s">
        <v>1690</v>
      </c>
      <c r="D229" s="14" t="s">
        <v>500</v>
      </c>
      <c r="E229" s="14" t="s">
        <v>711</v>
      </c>
      <c r="F229" s="14">
        <v>2</v>
      </c>
      <c r="G229" s="14">
        <v>3</v>
      </c>
      <c r="H229" s="12">
        <f>G229-F229</f>
        <v>1</v>
      </c>
      <c r="I229" s="14" t="s">
        <v>2518</v>
      </c>
      <c r="J229" s="14" t="s">
        <v>2519</v>
      </c>
      <c r="K229" s="14" t="s">
        <v>2520</v>
      </c>
    </row>
    <row r="230" spans="1:11" ht="45" customHeight="1">
      <c r="A230" s="13" t="s">
        <v>2746</v>
      </c>
      <c r="B230" s="13" t="s">
        <v>318</v>
      </c>
      <c r="C230" s="13" t="s">
        <v>1690</v>
      </c>
      <c r="D230" s="13" t="s">
        <v>500</v>
      </c>
      <c r="E230" s="13" t="s">
        <v>718</v>
      </c>
      <c r="F230" s="13">
        <v>2</v>
      </c>
      <c r="G230" s="13">
        <v>2</v>
      </c>
      <c r="H230" s="11">
        <f>G230-F230</f>
        <v>0</v>
      </c>
      <c r="I230" s="13" t="s">
        <v>2518</v>
      </c>
      <c r="J230" s="13" t="s">
        <v>2519</v>
      </c>
      <c r="K230" s="13" t="s">
        <v>2520</v>
      </c>
    </row>
    <row r="231" spans="1:11" ht="45" customHeight="1">
      <c r="A231" s="14" t="s">
        <v>2747</v>
      </c>
      <c r="B231" s="14" t="s">
        <v>318</v>
      </c>
      <c r="C231" s="14" t="s">
        <v>1690</v>
      </c>
      <c r="D231" s="14" t="s">
        <v>500</v>
      </c>
      <c r="E231" s="14" t="s">
        <v>725</v>
      </c>
      <c r="F231" s="14">
        <v>3</v>
      </c>
      <c r="G231" s="14">
        <v>3</v>
      </c>
      <c r="H231" s="12">
        <f>G231-F231</f>
        <v>0</v>
      </c>
      <c r="I231" s="14" t="s">
        <v>2518</v>
      </c>
      <c r="J231" s="14" t="s">
        <v>2519</v>
      </c>
      <c r="K231" s="14" t="s">
        <v>2520</v>
      </c>
    </row>
    <row r="232" spans="1:11" ht="45" customHeight="1">
      <c r="A232" s="13" t="s">
        <v>2748</v>
      </c>
      <c r="B232" s="13" t="s">
        <v>318</v>
      </c>
      <c r="C232" s="13" t="s">
        <v>1690</v>
      </c>
      <c r="D232" s="13" t="s">
        <v>500</v>
      </c>
      <c r="E232" s="13" t="s">
        <v>735</v>
      </c>
      <c r="F232" s="13">
        <v>1</v>
      </c>
      <c r="G232" s="13">
        <v>2</v>
      </c>
      <c r="H232" s="11">
        <f>G232-F232</f>
        <v>1</v>
      </c>
      <c r="I232" s="13" t="s">
        <v>2518</v>
      </c>
      <c r="J232" s="13" t="s">
        <v>2519</v>
      </c>
      <c r="K232" s="13" t="s">
        <v>2520</v>
      </c>
    </row>
    <row r="233" spans="1:11" ht="45" customHeight="1">
      <c r="A233" s="14" t="s">
        <v>2749</v>
      </c>
      <c r="B233" s="14" t="s">
        <v>318</v>
      </c>
      <c r="C233" s="14" t="s">
        <v>1690</v>
      </c>
      <c r="D233" s="14" t="s">
        <v>500</v>
      </c>
      <c r="E233" s="14" t="s">
        <v>743</v>
      </c>
      <c r="F233" s="14">
        <v>1</v>
      </c>
      <c r="G233" s="14">
        <v>2</v>
      </c>
      <c r="H233" s="12">
        <f>G233-F233</f>
        <v>1</v>
      </c>
      <c r="I233" s="14" t="s">
        <v>2518</v>
      </c>
      <c r="J233" s="14" t="s">
        <v>2519</v>
      </c>
      <c r="K233" s="14" t="s">
        <v>2520</v>
      </c>
    </row>
    <row r="234" spans="1:11" ht="45" customHeight="1">
      <c r="A234" s="13" t="s">
        <v>2750</v>
      </c>
      <c r="B234" s="13" t="s">
        <v>318</v>
      </c>
      <c r="C234" s="13" t="s">
        <v>1695</v>
      </c>
      <c r="D234" s="13" t="s">
        <v>500</v>
      </c>
      <c r="E234" s="13" t="s">
        <v>678</v>
      </c>
      <c r="F234" s="13">
        <v>1</v>
      </c>
      <c r="G234" s="13">
        <v>1</v>
      </c>
      <c r="H234" s="11">
        <f>G234-F234</f>
        <v>0</v>
      </c>
      <c r="I234" s="13" t="s">
        <v>2518</v>
      </c>
      <c r="J234" s="13" t="s">
        <v>2519</v>
      </c>
      <c r="K234" s="13" t="s">
        <v>2520</v>
      </c>
    </row>
    <row r="235" spans="1:11" ht="45" customHeight="1">
      <c r="A235" s="14" t="s">
        <v>2751</v>
      </c>
      <c r="B235" s="14" t="s">
        <v>318</v>
      </c>
      <c r="C235" s="14" t="s">
        <v>1695</v>
      </c>
      <c r="D235" s="14" t="s">
        <v>500</v>
      </c>
      <c r="E235" s="14" t="s">
        <v>683</v>
      </c>
      <c r="F235" s="14">
        <v>3</v>
      </c>
      <c r="G235" s="14">
        <v>3</v>
      </c>
      <c r="H235" s="12">
        <f>G235-F235</f>
        <v>0</v>
      </c>
      <c r="I235" s="14" t="s">
        <v>2518</v>
      </c>
      <c r="J235" s="14" t="s">
        <v>2519</v>
      </c>
      <c r="K235" s="14" t="s">
        <v>2520</v>
      </c>
    </row>
    <row r="236" spans="1:11" ht="45" customHeight="1">
      <c r="A236" s="13" t="s">
        <v>2752</v>
      </c>
      <c r="B236" s="13" t="s">
        <v>318</v>
      </c>
      <c r="C236" s="13" t="s">
        <v>1695</v>
      </c>
      <c r="D236" s="13" t="s">
        <v>500</v>
      </c>
      <c r="E236" s="13" t="s">
        <v>690</v>
      </c>
      <c r="F236" s="13">
        <v>2</v>
      </c>
      <c r="G236" s="13">
        <v>2</v>
      </c>
      <c r="H236" s="11">
        <f>G236-F236</f>
        <v>0</v>
      </c>
      <c r="I236" s="13" t="s">
        <v>2518</v>
      </c>
      <c r="J236" s="13" t="s">
        <v>2519</v>
      </c>
      <c r="K236" s="13" t="s">
        <v>2520</v>
      </c>
    </row>
    <row r="237" spans="1:11" ht="45" customHeight="1">
      <c r="A237" s="14" t="s">
        <v>2753</v>
      </c>
      <c r="B237" s="14" t="s">
        <v>318</v>
      </c>
      <c r="C237" s="14" t="s">
        <v>1695</v>
      </c>
      <c r="D237" s="14" t="s">
        <v>500</v>
      </c>
      <c r="E237" s="14" t="s">
        <v>697</v>
      </c>
      <c r="F237" s="14">
        <v>1</v>
      </c>
      <c r="G237" s="14">
        <v>2</v>
      </c>
      <c r="H237" s="12">
        <f>G237-F237</f>
        <v>1</v>
      </c>
      <c r="I237" s="14" t="s">
        <v>2518</v>
      </c>
      <c r="J237" s="14" t="s">
        <v>2519</v>
      </c>
      <c r="K237" s="14" t="s">
        <v>2520</v>
      </c>
    </row>
    <row r="238" spans="1:11" ht="45" customHeight="1">
      <c r="A238" s="13" t="s">
        <v>2754</v>
      </c>
      <c r="B238" s="13" t="s">
        <v>318</v>
      </c>
      <c r="C238" s="13" t="s">
        <v>1695</v>
      </c>
      <c r="D238" s="13" t="s">
        <v>500</v>
      </c>
      <c r="E238" s="13" t="s">
        <v>704</v>
      </c>
      <c r="F238" s="13">
        <v>2</v>
      </c>
      <c r="G238" s="13">
        <v>2</v>
      </c>
      <c r="H238" s="11">
        <f>G238-F238</f>
        <v>0</v>
      </c>
      <c r="I238" s="13" t="s">
        <v>2518</v>
      </c>
      <c r="J238" s="13" t="s">
        <v>2519</v>
      </c>
      <c r="K238" s="13" t="s">
        <v>2520</v>
      </c>
    </row>
    <row r="239" spans="1:11" ht="45" customHeight="1">
      <c r="A239" s="14" t="s">
        <v>2755</v>
      </c>
      <c r="B239" s="14" t="s">
        <v>318</v>
      </c>
      <c r="C239" s="14" t="s">
        <v>1695</v>
      </c>
      <c r="D239" s="14" t="s">
        <v>500</v>
      </c>
      <c r="E239" s="14" t="s">
        <v>711</v>
      </c>
      <c r="F239" s="14">
        <v>2</v>
      </c>
      <c r="G239" s="14">
        <v>2</v>
      </c>
      <c r="H239" s="12">
        <f>G239-F239</f>
        <v>0</v>
      </c>
      <c r="I239" s="14" t="s">
        <v>2518</v>
      </c>
      <c r="J239" s="14" t="s">
        <v>2519</v>
      </c>
      <c r="K239" s="14" t="s">
        <v>2520</v>
      </c>
    </row>
    <row r="240" spans="1:11" ht="45" customHeight="1">
      <c r="A240" s="13" t="s">
        <v>2756</v>
      </c>
      <c r="B240" s="13" t="s">
        <v>318</v>
      </c>
      <c r="C240" s="13" t="s">
        <v>1695</v>
      </c>
      <c r="D240" s="13" t="s">
        <v>500</v>
      </c>
      <c r="E240" s="13" t="s">
        <v>718</v>
      </c>
      <c r="F240" s="13">
        <v>1</v>
      </c>
      <c r="G240" s="13">
        <v>1</v>
      </c>
      <c r="H240" s="11">
        <f>G240-F240</f>
        <v>0</v>
      </c>
      <c r="I240" s="13" t="s">
        <v>2518</v>
      </c>
      <c r="J240" s="13" t="s">
        <v>2519</v>
      </c>
      <c r="K240" s="13" t="s">
        <v>2520</v>
      </c>
    </row>
    <row r="241" spans="1:11" ht="45" customHeight="1">
      <c r="A241" s="14" t="s">
        <v>2757</v>
      </c>
      <c r="B241" s="14" t="s">
        <v>318</v>
      </c>
      <c r="C241" s="14" t="s">
        <v>1695</v>
      </c>
      <c r="D241" s="14" t="s">
        <v>500</v>
      </c>
      <c r="E241" s="14" t="s">
        <v>725</v>
      </c>
      <c r="F241" s="14">
        <v>3</v>
      </c>
      <c r="G241" s="14">
        <v>3</v>
      </c>
      <c r="H241" s="12">
        <f>G241-F241</f>
        <v>0</v>
      </c>
      <c r="I241" s="14" t="s">
        <v>2518</v>
      </c>
      <c r="J241" s="14" t="s">
        <v>2519</v>
      </c>
      <c r="K241" s="14" t="s">
        <v>2520</v>
      </c>
    </row>
    <row r="242" spans="1:11" ht="45" customHeight="1">
      <c r="A242" s="13" t="s">
        <v>2758</v>
      </c>
      <c r="B242" s="13" t="s">
        <v>318</v>
      </c>
      <c r="C242" s="13" t="s">
        <v>1695</v>
      </c>
      <c r="D242" s="13" t="s">
        <v>500</v>
      </c>
      <c r="E242" s="13" t="s">
        <v>735</v>
      </c>
      <c r="F242" s="13">
        <v>2</v>
      </c>
      <c r="G242" s="13">
        <v>2</v>
      </c>
      <c r="H242" s="11">
        <f>G242-F242</f>
        <v>0</v>
      </c>
      <c r="I242" s="13" t="s">
        <v>2518</v>
      </c>
      <c r="J242" s="13" t="s">
        <v>2519</v>
      </c>
      <c r="K242" s="13" t="s">
        <v>2520</v>
      </c>
    </row>
    <row r="243" spans="1:11" ht="45" customHeight="1">
      <c r="A243" s="14" t="s">
        <v>2759</v>
      </c>
      <c r="B243" s="14" t="s">
        <v>318</v>
      </c>
      <c r="C243" s="14" t="s">
        <v>1695</v>
      </c>
      <c r="D243" s="14" t="s">
        <v>500</v>
      </c>
      <c r="E243" s="14" t="s">
        <v>743</v>
      </c>
      <c r="F243" s="14">
        <v>2</v>
      </c>
      <c r="G243" s="14">
        <v>3</v>
      </c>
      <c r="H243" s="12">
        <f>G243-F243</f>
        <v>1</v>
      </c>
      <c r="I243" s="14" t="s">
        <v>2518</v>
      </c>
      <c r="J243" s="14" t="s">
        <v>2519</v>
      </c>
      <c r="K243" s="14" t="s">
        <v>2520</v>
      </c>
    </row>
    <row r="244" spans="1:11" ht="45" customHeight="1">
      <c r="A244" s="13" t="s">
        <v>2760</v>
      </c>
      <c r="B244" s="13" t="s">
        <v>318</v>
      </c>
      <c r="C244" s="13" t="s">
        <v>1697</v>
      </c>
      <c r="D244" s="13" t="s">
        <v>500</v>
      </c>
      <c r="E244" s="13" t="s">
        <v>678</v>
      </c>
      <c r="F244" s="13">
        <v>2</v>
      </c>
      <c r="G244" s="13">
        <v>3</v>
      </c>
      <c r="H244" s="11">
        <f>G244-F244</f>
        <v>1</v>
      </c>
      <c r="I244" s="13" t="s">
        <v>2518</v>
      </c>
      <c r="J244" s="13" t="s">
        <v>2519</v>
      </c>
      <c r="K244" s="13" t="s">
        <v>2520</v>
      </c>
    </row>
    <row r="245" spans="1:11" ht="45" customHeight="1">
      <c r="A245" s="14" t="s">
        <v>2761</v>
      </c>
      <c r="B245" s="14" t="s">
        <v>318</v>
      </c>
      <c r="C245" s="14" t="s">
        <v>1697</v>
      </c>
      <c r="D245" s="14" t="s">
        <v>500</v>
      </c>
      <c r="E245" s="14" t="s">
        <v>683</v>
      </c>
      <c r="F245" s="14">
        <v>2</v>
      </c>
      <c r="G245" s="14">
        <v>2</v>
      </c>
      <c r="H245" s="12">
        <f>G245-F245</f>
        <v>0</v>
      </c>
      <c r="I245" s="14" t="s">
        <v>2518</v>
      </c>
      <c r="J245" s="14" t="s">
        <v>2519</v>
      </c>
      <c r="K245" s="14" t="s">
        <v>2520</v>
      </c>
    </row>
    <row r="246" spans="1:11" ht="45" customHeight="1">
      <c r="A246" s="13" t="s">
        <v>2762</v>
      </c>
      <c r="B246" s="13" t="s">
        <v>318</v>
      </c>
      <c r="C246" s="13" t="s">
        <v>1697</v>
      </c>
      <c r="D246" s="13" t="s">
        <v>500</v>
      </c>
      <c r="E246" s="13" t="s">
        <v>690</v>
      </c>
      <c r="F246" s="13">
        <v>3</v>
      </c>
      <c r="G246" s="13">
        <v>3</v>
      </c>
      <c r="H246" s="11">
        <f>G246-F246</f>
        <v>0</v>
      </c>
      <c r="I246" s="13" t="s">
        <v>2518</v>
      </c>
      <c r="J246" s="13" t="s">
        <v>2519</v>
      </c>
      <c r="K246" s="13" t="s">
        <v>2520</v>
      </c>
    </row>
    <row r="247" spans="1:11" ht="45" customHeight="1">
      <c r="A247" s="14" t="s">
        <v>2763</v>
      </c>
      <c r="B247" s="14" t="s">
        <v>318</v>
      </c>
      <c r="C247" s="14" t="s">
        <v>1697</v>
      </c>
      <c r="D247" s="14" t="s">
        <v>500</v>
      </c>
      <c r="E247" s="14" t="s">
        <v>697</v>
      </c>
      <c r="F247" s="14">
        <v>3</v>
      </c>
      <c r="G247" s="14">
        <v>3</v>
      </c>
      <c r="H247" s="12">
        <f>G247-F247</f>
        <v>0</v>
      </c>
      <c r="I247" s="14" t="s">
        <v>2518</v>
      </c>
      <c r="J247" s="14" t="s">
        <v>2519</v>
      </c>
      <c r="K247" s="14" t="s">
        <v>2520</v>
      </c>
    </row>
    <row r="248" spans="1:11" ht="45" customHeight="1">
      <c r="A248" s="13" t="s">
        <v>2764</v>
      </c>
      <c r="B248" s="13" t="s">
        <v>318</v>
      </c>
      <c r="C248" s="13" t="s">
        <v>1697</v>
      </c>
      <c r="D248" s="13" t="s">
        <v>500</v>
      </c>
      <c r="E248" s="13" t="s">
        <v>704</v>
      </c>
      <c r="F248" s="13">
        <v>3</v>
      </c>
      <c r="G248" s="13">
        <v>3</v>
      </c>
      <c r="H248" s="11">
        <f>G248-F248</f>
        <v>0</v>
      </c>
      <c r="I248" s="13" t="s">
        <v>2518</v>
      </c>
      <c r="J248" s="13" t="s">
        <v>2519</v>
      </c>
      <c r="K248" s="13" t="s">
        <v>2520</v>
      </c>
    </row>
    <row r="249" spans="1:11" ht="45" customHeight="1">
      <c r="A249" s="14" t="s">
        <v>2765</v>
      </c>
      <c r="B249" s="14" t="s">
        <v>318</v>
      </c>
      <c r="C249" s="14" t="s">
        <v>1697</v>
      </c>
      <c r="D249" s="14" t="s">
        <v>500</v>
      </c>
      <c r="E249" s="14" t="s">
        <v>711</v>
      </c>
      <c r="F249" s="14">
        <v>3</v>
      </c>
      <c r="G249" s="14">
        <v>3</v>
      </c>
      <c r="H249" s="12">
        <f>G249-F249</f>
        <v>0</v>
      </c>
      <c r="I249" s="14" t="s">
        <v>2518</v>
      </c>
      <c r="J249" s="14" t="s">
        <v>2519</v>
      </c>
      <c r="K249" s="14" t="s">
        <v>2520</v>
      </c>
    </row>
    <row r="250" spans="1:11" ht="45" customHeight="1">
      <c r="A250" s="13" t="s">
        <v>2766</v>
      </c>
      <c r="B250" s="13" t="s">
        <v>318</v>
      </c>
      <c r="C250" s="13" t="s">
        <v>1697</v>
      </c>
      <c r="D250" s="13" t="s">
        <v>500</v>
      </c>
      <c r="E250" s="13" t="s">
        <v>718</v>
      </c>
      <c r="F250" s="13">
        <v>2</v>
      </c>
      <c r="G250" s="13">
        <v>2</v>
      </c>
      <c r="H250" s="11">
        <f>G250-F250</f>
        <v>0</v>
      </c>
      <c r="I250" s="13" t="s">
        <v>2518</v>
      </c>
      <c r="J250" s="13" t="s">
        <v>2519</v>
      </c>
      <c r="K250" s="13" t="s">
        <v>2520</v>
      </c>
    </row>
    <row r="251" spans="1:11" ht="45" customHeight="1">
      <c r="A251" s="14" t="s">
        <v>2767</v>
      </c>
      <c r="B251" s="14" t="s">
        <v>318</v>
      </c>
      <c r="C251" s="14" t="s">
        <v>1697</v>
      </c>
      <c r="D251" s="14" t="s">
        <v>500</v>
      </c>
      <c r="E251" s="14" t="s">
        <v>725</v>
      </c>
      <c r="F251" s="14">
        <v>2</v>
      </c>
      <c r="G251" s="14">
        <v>2</v>
      </c>
      <c r="H251" s="12">
        <f>G251-F251</f>
        <v>0</v>
      </c>
      <c r="I251" s="14" t="s">
        <v>2518</v>
      </c>
      <c r="J251" s="14" t="s">
        <v>2519</v>
      </c>
      <c r="K251" s="14" t="s">
        <v>2520</v>
      </c>
    </row>
    <row r="252" spans="1:11" ht="45" customHeight="1">
      <c r="A252" s="13" t="s">
        <v>2768</v>
      </c>
      <c r="B252" s="13" t="s">
        <v>318</v>
      </c>
      <c r="C252" s="13" t="s">
        <v>1697</v>
      </c>
      <c r="D252" s="13" t="s">
        <v>500</v>
      </c>
      <c r="E252" s="13" t="s">
        <v>735</v>
      </c>
      <c r="F252" s="13">
        <v>2</v>
      </c>
      <c r="G252" s="13">
        <v>3</v>
      </c>
      <c r="H252" s="11">
        <f>G252-F252</f>
        <v>1</v>
      </c>
      <c r="I252" s="13" t="s">
        <v>2518</v>
      </c>
      <c r="J252" s="13" t="s">
        <v>2519</v>
      </c>
      <c r="K252" s="13" t="s">
        <v>2520</v>
      </c>
    </row>
    <row r="253" spans="1:11" ht="45" customHeight="1">
      <c r="A253" s="14" t="s">
        <v>2769</v>
      </c>
      <c r="B253" s="14" t="s">
        <v>318</v>
      </c>
      <c r="C253" s="14" t="s">
        <v>1697</v>
      </c>
      <c r="D253" s="14" t="s">
        <v>500</v>
      </c>
      <c r="E253" s="14" t="s">
        <v>743</v>
      </c>
      <c r="F253" s="14">
        <v>3</v>
      </c>
      <c r="G253" s="14">
        <v>3</v>
      </c>
      <c r="H253" s="12">
        <f>G253-F253</f>
        <v>0</v>
      </c>
      <c r="I253" s="14" t="s">
        <v>2518</v>
      </c>
      <c r="J253" s="14" t="s">
        <v>2519</v>
      </c>
      <c r="K253" s="14" t="s">
        <v>2520</v>
      </c>
    </row>
    <row r="254" spans="1:11" ht="45" customHeight="1">
      <c r="A254" s="13" t="s">
        <v>2770</v>
      </c>
      <c r="B254" s="13" t="s">
        <v>318</v>
      </c>
      <c r="C254" s="13" t="s">
        <v>1699</v>
      </c>
      <c r="D254" s="13" t="s">
        <v>500</v>
      </c>
      <c r="E254" s="13" t="s">
        <v>678</v>
      </c>
      <c r="F254" s="13">
        <v>3</v>
      </c>
      <c r="G254" s="13">
        <v>3</v>
      </c>
      <c r="H254" s="11">
        <f>G254-F254</f>
        <v>0</v>
      </c>
      <c r="I254" s="13" t="s">
        <v>2518</v>
      </c>
      <c r="J254" s="13" t="s">
        <v>2519</v>
      </c>
      <c r="K254" s="13" t="s">
        <v>2520</v>
      </c>
    </row>
    <row r="255" spans="1:11" ht="45" customHeight="1">
      <c r="A255" s="14" t="s">
        <v>2771</v>
      </c>
      <c r="B255" s="14" t="s">
        <v>318</v>
      </c>
      <c r="C255" s="14" t="s">
        <v>1699</v>
      </c>
      <c r="D255" s="14" t="s">
        <v>500</v>
      </c>
      <c r="E255" s="14" t="s">
        <v>683</v>
      </c>
      <c r="F255" s="14">
        <v>3</v>
      </c>
      <c r="G255" s="14">
        <v>3</v>
      </c>
      <c r="H255" s="12">
        <f>G255-F255</f>
        <v>0</v>
      </c>
      <c r="I255" s="14" t="s">
        <v>2518</v>
      </c>
      <c r="J255" s="14" t="s">
        <v>2519</v>
      </c>
      <c r="K255" s="14" t="s">
        <v>2520</v>
      </c>
    </row>
    <row r="256" spans="1:11" ht="45" customHeight="1">
      <c r="A256" s="13" t="s">
        <v>2772</v>
      </c>
      <c r="B256" s="13" t="s">
        <v>318</v>
      </c>
      <c r="C256" s="13" t="s">
        <v>1699</v>
      </c>
      <c r="D256" s="13" t="s">
        <v>500</v>
      </c>
      <c r="E256" s="13" t="s">
        <v>690</v>
      </c>
      <c r="F256" s="13">
        <v>2</v>
      </c>
      <c r="G256" s="13">
        <v>2</v>
      </c>
      <c r="H256" s="11">
        <f>G256-F256</f>
        <v>0</v>
      </c>
      <c r="I256" s="13" t="s">
        <v>2518</v>
      </c>
      <c r="J256" s="13" t="s">
        <v>2519</v>
      </c>
      <c r="K256" s="13" t="s">
        <v>2520</v>
      </c>
    </row>
    <row r="257" spans="1:11" ht="45" customHeight="1">
      <c r="A257" s="14" t="s">
        <v>2773</v>
      </c>
      <c r="B257" s="14" t="s">
        <v>318</v>
      </c>
      <c r="C257" s="14" t="s">
        <v>1699</v>
      </c>
      <c r="D257" s="14" t="s">
        <v>500</v>
      </c>
      <c r="E257" s="14" t="s">
        <v>697</v>
      </c>
      <c r="F257" s="14">
        <v>3</v>
      </c>
      <c r="G257" s="14">
        <v>3</v>
      </c>
      <c r="H257" s="12">
        <f>G257-F257</f>
        <v>0</v>
      </c>
      <c r="I257" s="14" t="s">
        <v>2518</v>
      </c>
      <c r="J257" s="14" t="s">
        <v>2519</v>
      </c>
      <c r="K257" s="14" t="s">
        <v>2520</v>
      </c>
    </row>
    <row r="258" spans="1:11" ht="45" customHeight="1">
      <c r="A258" s="13" t="s">
        <v>2774</v>
      </c>
      <c r="B258" s="13" t="s">
        <v>318</v>
      </c>
      <c r="C258" s="13" t="s">
        <v>1699</v>
      </c>
      <c r="D258" s="13" t="s">
        <v>500</v>
      </c>
      <c r="E258" s="13" t="s">
        <v>704</v>
      </c>
      <c r="F258" s="13">
        <v>1</v>
      </c>
      <c r="G258" s="13">
        <v>2</v>
      </c>
      <c r="H258" s="11">
        <f>G258-F258</f>
        <v>1</v>
      </c>
      <c r="I258" s="13" t="s">
        <v>2518</v>
      </c>
      <c r="J258" s="13" t="s">
        <v>2519</v>
      </c>
      <c r="K258" s="13" t="s">
        <v>2520</v>
      </c>
    </row>
    <row r="259" spans="1:11" ht="45" customHeight="1">
      <c r="A259" s="14" t="s">
        <v>2775</v>
      </c>
      <c r="B259" s="14" t="s">
        <v>318</v>
      </c>
      <c r="C259" s="14" t="s">
        <v>1699</v>
      </c>
      <c r="D259" s="14" t="s">
        <v>500</v>
      </c>
      <c r="E259" s="14" t="s">
        <v>711</v>
      </c>
      <c r="F259" s="14">
        <v>3</v>
      </c>
      <c r="G259" s="14">
        <v>3</v>
      </c>
      <c r="H259" s="12">
        <f>G259-F259</f>
        <v>0</v>
      </c>
      <c r="I259" s="14" t="s">
        <v>2518</v>
      </c>
      <c r="J259" s="14" t="s">
        <v>2519</v>
      </c>
      <c r="K259" s="14" t="s">
        <v>2520</v>
      </c>
    </row>
    <row r="260" spans="1:11" ht="45" customHeight="1">
      <c r="A260" s="13" t="s">
        <v>2776</v>
      </c>
      <c r="B260" s="13" t="s">
        <v>318</v>
      </c>
      <c r="C260" s="13" t="s">
        <v>1699</v>
      </c>
      <c r="D260" s="13" t="s">
        <v>500</v>
      </c>
      <c r="E260" s="13" t="s">
        <v>718</v>
      </c>
      <c r="F260" s="13">
        <v>3</v>
      </c>
      <c r="G260" s="13">
        <v>3</v>
      </c>
      <c r="H260" s="11">
        <f>G260-F260</f>
        <v>0</v>
      </c>
      <c r="I260" s="13" t="s">
        <v>2518</v>
      </c>
      <c r="J260" s="13" t="s">
        <v>2519</v>
      </c>
      <c r="K260" s="13" t="s">
        <v>2520</v>
      </c>
    </row>
    <row r="261" spans="1:11" ht="45" customHeight="1">
      <c r="A261" s="14" t="s">
        <v>2777</v>
      </c>
      <c r="B261" s="14" t="s">
        <v>318</v>
      </c>
      <c r="C261" s="14" t="s">
        <v>1699</v>
      </c>
      <c r="D261" s="14" t="s">
        <v>500</v>
      </c>
      <c r="E261" s="14" t="s">
        <v>725</v>
      </c>
      <c r="F261" s="14">
        <v>3</v>
      </c>
      <c r="G261" s="14">
        <v>3</v>
      </c>
      <c r="H261" s="12">
        <f>G261-F261</f>
        <v>0</v>
      </c>
      <c r="I261" s="14" t="s">
        <v>2518</v>
      </c>
      <c r="J261" s="14" t="s">
        <v>2519</v>
      </c>
      <c r="K261" s="14" t="s">
        <v>2520</v>
      </c>
    </row>
    <row r="262" spans="1:11" ht="45" customHeight="1">
      <c r="A262" s="13" t="s">
        <v>2778</v>
      </c>
      <c r="B262" s="13" t="s">
        <v>318</v>
      </c>
      <c r="C262" s="13" t="s">
        <v>1699</v>
      </c>
      <c r="D262" s="13" t="s">
        <v>500</v>
      </c>
      <c r="E262" s="13" t="s">
        <v>735</v>
      </c>
      <c r="F262" s="13">
        <v>3</v>
      </c>
      <c r="G262" s="13">
        <v>3</v>
      </c>
      <c r="H262" s="11">
        <f>G262-F262</f>
        <v>0</v>
      </c>
      <c r="I262" s="13" t="s">
        <v>2518</v>
      </c>
      <c r="J262" s="13" t="s">
        <v>2519</v>
      </c>
      <c r="K262" s="13" t="s">
        <v>2520</v>
      </c>
    </row>
    <row r="263" spans="1:11" ht="45" customHeight="1">
      <c r="A263" s="14" t="s">
        <v>2779</v>
      </c>
      <c r="B263" s="14" t="s">
        <v>318</v>
      </c>
      <c r="C263" s="14" t="s">
        <v>1699</v>
      </c>
      <c r="D263" s="14" t="s">
        <v>500</v>
      </c>
      <c r="E263" s="14" t="s">
        <v>743</v>
      </c>
      <c r="F263" s="14">
        <v>3</v>
      </c>
      <c r="G263" s="14">
        <v>3</v>
      </c>
      <c r="H263" s="12">
        <f>G263-F263</f>
        <v>0</v>
      </c>
      <c r="I263" s="14" t="s">
        <v>2518</v>
      </c>
      <c r="J263" s="14" t="s">
        <v>2519</v>
      </c>
      <c r="K263" s="14" t="s">
        <v>2520</v>
      </c>
    </row>
  </sheetData>
  <autoFilter ref="A3:K263" xr:uid="{00000000-0009-0000-0000-000014000000}"/>
  <mergeCells count="1">
    <mergeCell ref="A1:K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8"/>
  <sheetViews>
    <sheetView showGridLines="0" workbookViewId="0">
      <pane ySplit="3" topLeftCell="A4" activePane="bottomLeft" state="frozen"/>
      <selection pane="bottomLeft"/>
    </sheetView>
  </sheetViews>
  <sheetFormatPr defaultRowHeight="15"/>
  <cols>
    <col min="1" max="1" width="15" customWidth="1"/>
    <col min="2" max="2" width="30" customWidth="1"/>
    <col min="3" max="3" width="12" customWidth="1"/>
    <col min="4" max="4" width="25" customWidth="1"/>
    <col min="5" max="5" width="12" customWidth="1"/>
    <col min="6" max="9" width="45" customWidth="1"/>
  </cols>
  <sheetData>
    <row r="1" spans="1:9" ht="26.1" customHeight="1">
      <c r="A1" s="16" t="s">
        <v>2780</v>
      </c>
      <c r="B1" s="17"/>
      <c r="C1" s="17"/>
      <c r="D1" s="17"/>
      <c r="E1" s="17"/>
      <c r="F1" s="17"/>
      <c r="G1" s="17"/>
      <c r="H1" s="17"/>
      <c r="I1" s="17"/>
    </row>
    <row r="3" spans="1:9">
      <c r="A3" s="2" t="s">
        <v>398</v>
      </c>
      <c r="B3" s="2" t="s">
        <v>62</v>
      </c>
      <c r="C3" s="2" t="s">
        <v>316</v>
      </c>
      <c r="D3" s="2" t="s">
        <v>320</v>
      </c>
      <c r="E3" s="2" t="s">
        <v>154</v>
      </c>
      <c r="F3" s="2" t="s">
        <v>158</v>
      </c>
      <c r="G3" s="2" t="s">
        <v>400</v>
      </c>
      <c r="H3" s="2" t="s">
        <v>402</v>
      </c>
      <c r="I3" s="2" t="s">
        <v>404</v>
      </c>
    </row>
    <row r="4" spans="1:9" ht="45" customHeight="1">
      <c r="A4" s="13" t="s">
        <v>2781</v>
      </c>
      <c r="B4" s="13" t="s">
        <v>318</v>
      </c>
      <c r="C4" s="13" t="s">
        <v>1596</v>
      </c>
      <c r="D4" s="13" t="s">
        <v>1597</v>
      </c>
      <c r="E4" s="13" t="s">
        <v>464</v>
      </c>
      <c r="F4" s="13" t="s">
        <v>466</v>
      </c>
      <c r="G4" s="13" t="s">
        <v>2782</v>
      </c>
      <c r="H4" s="13" t="s">
        <v>2783</v>
      </c>
      <c r="I4" s="13" t="s">
        <v>2784</v>
      </c>
    </row>
    <row r="5" spans="1:9" ht="45" customHeight="1">
      <c r="A5" s="14" t="s">
        <v>2785</v>
      </c>
      <c r="B5" s="14" t="s">
        <v>318</v>
      </c>
      <c r="C5" s="14" t="s">
        <v>1609</v>
      </c>
      <c r="D5" s="14" t="s">
        <v>1610</v>
      </c>
      <c r="E5" s="14" t="s">
        <v>464</v>
      </c>
      <c r="F5" s="14" t="s">
        <v>466</v>
      </c>
      <c r="G5" s="14" t="s">
        <v>2786</v>
      </c>
      <c r="H5" s="14" t="s">
        <v>2783</v>
      </c>
      <c r="I5" s="14" t="s">
        <v>2784</v>
      </c>
    </row>
    <row r="6" spans="1:9" ht="45" customHeight="1">
      <c r="A6" s="13" t="s">
        <v>2787</v>
      </c>
      <c r="B6" s="13" t="s">
        <v>318</v>
      </c>
      <c r="C6" s="13" t="s">
        <v>1618</v>
      </c>
      <c r="D6" s="13" t="s">
        <v>1619</v>
      </c>
      <c r="E6" s="13" t="s">
        <v>464</v>
      </c>
      <c r="F6" s="13" t="s">
        <v>473</v>
      </c>
      <c r="G6" s="13" t="s">
        <v>2788</v>
      </c>
      <c r="H6" s="13" t="s">
        <v>2783</v>
      </c>
      <c r="I6" s="13" t="s">
        <v>2784</v>
      </c>
    </row>
    <row r="7" spans="1:9" ht="45" customHeight="1">
      <c r="A7" s="14" t="s">
        <v>2789</v>
      </c>
      <c r="B7" s="14" t="s">
        <v>318</v>
      </c>
      <c r="C7" s="14" t="s">
        <v>1627</v>
      </c>
      <c r="D7" s="14" t="s">
        <v>1628</v>
      </c>
      <c r="E7" s="14" t="s">
        <v>464</v>
      </c>
      <c r="F7" s="14" t="s">
        <v>477</v>
      </c>
      <c r="G7" s="14" t="s">
        <v>2790</v>
      </c>
      <c r="H7" s="14" t="s">
        <v>2783</v>
      </c>
      <c r="I7" s="14" t="s">
        <v>2784</v>
      </c>
    </row>
    <row r="8" spans="1:9" ht="45" customHeight="1">
      <c r="A8" s="13" t="s">
        <v>2791</v>
      </c>
      <c r="B8" s="13" t="s">
        <v>318</v>
      </c>
      <c r="C8" s="13" t="s">
        <v>1633</v>
      </c>
      <c r="D8" s="13" t="s">
        <v>1634</v>
      </c>
      <c r="E8" s="13" t="s">
        <v>482</v>
      </c>
      <c r="F8" s="13" t="s">
        <v>484</v>
      </c>
      <c r="G8" s="13" t="s">
        <v>2792</v>
      </c>
      <c r="H8" s="13" t="s">
        <v>2783</v>
      </c>
      <c r="I8" s="13" t="s">
        <v>2784</v>
      </c>
    </row>
  </sheetData>
  <autoFilter ref="A3:I8" xr:uid="{00000000-0009-0000-0000-000015000000}"/>
  <mergeCells count="1">
    <mergeCell ref="A1:I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3"/>
  <sheetViews>
    <sheetView showGridLines="0" workbookViewId="0">
      <pane ySplit="3" topLeftCell="A4" activePane="bottomLeft" state="frozen"/>
      <selection pane="bottomLeft"/>
    </sheetView>
  </sheetViews>
  <sheetFormatPr defaultRowHeight="15"/>
  <cols>
    <col min="1" max="1" width="16" customWidth="1"/>
    <col min="2" max="4" width="45" customWidth="1"/>
    <col min="5" max="6" width="12" customWidth="1"/>
  </cols>
  <sheetData>
    <row r="1" spans="1:6" ht="26.1" customHeight="1">
      <c r="A1" s="16" t="s">
        <v>2793</v>
      </c>
      <c r="B1" s="17"/>
      <c r="C1" s="17"/>
      <c r="D1" s="17"/>
      <c r="E1" s="17"/>
      <c r="F1" s="17"/>
    </row>
    <row r="3" spans="1:6">
      <c r="A3" s="2" t="s">
        <v>406</v>
      </c>
      <c r="B3" s="2" t="s">
        <v>408</v>
      </c>
      <c r="C3" s="2" t="s">
        <v>410</v>
      </c>
      <c r="D3" s="2" t="s">
        <v>412</v>
      </c>
      <c r="E3" s="2" t="s">
        <v>414</v>
      </c>
      <c r="F3" s="3"/>
    </row>
    <row r="4" spans="1:6" ht="45" customHeight="1">
      <c r="A4" s="4" t="s">
        <v>2794</v>
      </c>
      <c r="B4" s="4" t="s">
        <v>2795</v>
      </c>
      <c r="C4" s="4" t="s">
        <v>2796</v>
      </c>
      <c r="D4" s="4" t="s">
        <v>2797</v>
      </c>
      <c r="E4" s="4" t="s">
        <v>2798</v>
      </c>
      <c r="F4" s="5"/>
    </row>
    <row r="5" spans="1:6" ht="45" customHeight="1">
      <c r="A5" s="6" t="s">
        <v>2799</v>
      </c>
      <c r="B5" s="6" t="s">
        <v>2800</v>
      </c>
      <c r="C5" s="6" t="s">
        <v>2801</v>
      </c>
      <c r="D5" s="6" t="s">
        <v>2802</v>
      </c>
      <c r="E5" s="6" t="s">
        <v>2798</v>
      </c>
      <c r="F5" s="3"/>
    </row>
    <row r="6" spans="1:6" ht="45" customHeight="1">
      <c r="A6" s="4" t="s">
        <v>2803</v>
      </c>
      <c r="B6" s="4" t="s">
        <v>2804</v>
      </c>
      <c r="C6" s="4" t="s">
        <v>2805</v>
      </c>
      <c r="D6" s="4" t="s">
        <v>2806</v>
      </c>
      <c r="E6" s="4" t="s">
        <v>2798</v>
      </c>
      <c r="F6" s="5"/>
    </row>
    <row r="7" spans="1:6" ht="45" customHeight="1">
      <c r="A7" s="6" t="s">
        <v>2807</v>
      </c>
      <c r="B7" s="6" t="s">
        <v>2808</v>
      </c>
      <c r="C7" s="6" t="s">
        <v>2809</v>
      </c>
      <c r="D7" s="6" t="s">
        <v>2810</v>
      </c>
      <c r="E7" s="6" t="s">
        <v>2798</v>
      </c>
      <c r="F7" s="3"/>
    </row>
    <row r="8" spans="1:6" ht="45" customHeight="1">
      <c r="A8" s="4" t="s">
        <v>2811</v>
      </c>
      <c r="B8" s="4" t="s">
        <v>2812</v>
      </c>
      <c r="C8" s="4" t="s">
        <v>2813</v>
      </c>
      <c r="D8" s="4" t="s">
        <v>2814</v>
      </c>
      <c r="E8" s="4" t="s">
        <v>2798</v>
      </c>
      <c r="F8" s="5"/>
    </row>
    <row r="9" spans="1:6" ht="45" customHeight="1">
      <c r="A9" s="6" t="s">
        <v>2815</v>
      </c>
      <c r="B9" s="6" t="s">
        <v>2816</v>
      </c>
      <c r="C9" s="6" t="s">
        <v>2817</v>
      </c>
      <c r="D9" s="6" t="s">
        <v>2818</v>
      </c>
      <c r="E9" s="6" t="s">
        <v>2798</v>
      </c>
      <c r="F9" s="3"/>
    </row>
    <row r="10" spans="1:6" ht="45" customHeight="1">
      <c r="A10" s="4" t="s">
        <v>2819</v>
      </c>
      <c r="B10" s="4" t="s">
        <v>2820</v>
      </c>
      <c r="C10" s="4" t="s">
        <v>2821</v>
      </c>
      <c r="D10" s="4" t="s">
        <v>2822</v>
      </c>
      <c r="E10" s="4" t="s">
        <v>2798</v>
      </c>
      <c r="F10" s="5"/>
    </row>
    <row r="11" spans="1:6" ht="45" customHeight="1">
      <c r="A11" s="6" t="s">
        <v>2823</v>
      </c>
      <c r="B11" s="6" t="s">
        <v>2824</v>
      </c>
      <c r="C11" s="6" t="s">
        <v>2825</v>
      </c>
      <c r="D11" s="6" t="s">
        <v>2826</v>
      </c>
      <c r="E11" s="6" t="s">
        <v>2798</v>
      </c>
      <c r="F11" s="3"/>
    </row>
    <row r="12" spans="1:6" ht="45" customHeight="1">
      <c r="A12" s="4" t="s">
        <v>2827</v>
      </c>
      <c r="B12" s="4" t="s">
        <v>2828</v>
      </c>
      <c r="C12" s="4" t="s">
        <v>2829</v>
      </c>
      <c r="D12" s="4" t="s">
        <v>2830</v>
      </c>
      <c r="E12" s="4" t="s">
        <v>2798</v>
      </c>
      <c r="F12" s="5"/>
    </row>
    <row r="13" spans="1:6" ht="45" customHeight="1">
      <c r="A13" s="6" t="s">
        <v>2831</v>
      </c>
      <c r="B13" s="6" t="s">
        <v>2832</v>
      </c>
      <c r="C13" s="6" t="s">
        <v>2833</v>
      </c>
      <c r="D13" s="6" t="s">
        <v>2834</v>
      </c>
      <c r="E13" s="6" t="s">
        <v>2798</v>
      </c>
      <c r="F13" s="3"/>
    </row>
  </sheetData>
  <autoFilter ref="A3:F13" xr:uid="{00000000-0009-0000-0000-000016000000}"/>
  <mergeCells count="1">
    <mergeCell ref="A1:F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1"/>
  <sheetViews>
    <sheetView showGridLines="0" workbookViewId="0">
      <pane ySplit="3" topLeftCell="A4" activePane="bottomLeft" state="frozen"/>
      <selection pane="bottomLeft"/>
    </sheetView>
  </sheetViews>
  <sheetFormatPr defaultRowHeight="15"/>
  <cols>
    <col min="1" max="1" width="28" customWidth="1"/>
    <col min="2" max="2" width="45" customWidth="1"/>
    <col min="3" max="3" width="18" customWidth="1"/>
    <col min="4" max="6" width="12" customWidth="1"/>
  </cols>
  <sheetData>
    <row r="1" spans="1:6" ht="26.1" customHeight="1">
      <c r="A1" s="16" t="s">
        <v>2835</v>
      </c>
      <c r="B1" s="17"/>
      <c r="C1" s="17"/>
      <c r="D1" s="17"/>
      <c r="E1" s="17"/>
      <c r="F1" s="17"/>
    </row>
    <row r="3" spans="1:6">
      <c r="A3" s="15" t="s">
        <v>428</v>
      </c>
      <c r="B3" s="15" t="s">
        <v>430</v>
      </c>
      <c r="C3" s="15" t="s">
        <v>414</v>
      </c>
      <c r="D3" s="3"/>
      <c r="E3" s="3"/>
      <c r="F3" s="3"/>
    </row>
    <row r="4" spans="1:6" ht="45" customHeight="1">
      <c r="A4" s="4" t="s">
        <v>2836</v>
      </c>
      <c r="B4" s="4" t="s">
        <v>2837</v>
      </c>
      <c r="C4" s="4" t="s">
        <v>2838</v>
      </c>
      <c r="D4" s="5"/>
      <c r="E4" s="5"/>
      <c r="F4" s="5"/>
    </row>
    <row r="5" spans="1:6" ht="45" customHeight="1">
      <c r="A5" s="6" t="s">
        <v>2839</v>
      </c>
      <c r="B5" s="6" t="s">
        <v>2840</v>
      </c>
      <c r="C5" s="6" t="s">
        <v>2838</v>
      </c>
      <c r="D5" s="3"/>
      <c r="E5" s="3"/>
      <c r="F5" s="3"/>
    </row>
    <row r="6" spans="1:6" ht="45" customHeight="1">
      <c r="A6" s="4" t="s">
        <v>2841</v>
      </c>
      <c r="B6" s="4" t="s">
        <v>2842</v>
      </c>
      <c r="C6" s="4" t="s">
        <v>2838</v>
      </c>
      <c r="D6" s="5"/>
      <c r="E6" s="5"/>
      <c r="F6" s="5"/>
    </row>
    <row r="7" spans="1:6" ht="45" customHeight="1">
      <c r="A7" s="6" t="s">
        <v>2843</v>
      </c>
      <c r="B7" s="6" t="s">
        <v>2844</v>
      </c>
      <c r="C7" s="6" t="s">
        <v>2838</v>
      </c>
      <c r="D7" s="3"/>
      <c r="E7" s="3"/>
      <c r="F7" s="3"/>
    </row>
    <row r="8" spans="1:6" ht="45" customHeight="1">
      <c r="A8" s="4" t="s">
        <v>2845</v>
      </c>
      <c r="B8" s="4" t="s">
        <v>2846</v>
      </c>
      <c r="C8" s="4" t="s">
        <v>2847</v>
      </c>
      <c r="D8" s="5"/>
      <c r="E8" s="5"/>
      <c r="F8" s="5"/>
    </row>
    <row r="9" spans="1:6" ht="45" customHeight="1">
      <c r="A9" s="6" t="s">
        <v>2848</v>
      </c>
      <c r="B9" s="6" t="s">
        <v>2849</v>
      </c>
      <c r="C9" s="6" t="s">
        <v>2847</v>
      </c>
      <c r="D9" s="3"/>
      <c r="E9" s="3"/>
      <c r="F9" s="3"/>
    </row>
    <row r="10" spans="1:6" ht="45" customHeight="1">
      <c r="A10" s="4" t="s">
        <v>2850</v>
      </c>
      <c r="B10" s="4" t="s">
        <v>2851</v>
      </c>
      <c r="C10" s="4" t="s">
        <v>2847</v>
      </c>
      <c r="D10" s="5"/>
      <c r="E10" s="5"/>
      <c r="F10" s="5"/>
    </row>
    <row r="11" spans="1:6" ht="45" customHeight="1">
      <c r="A11" s="6" t="s">
        <v>2852</v>
      </c>
      <c r="B11" s="6" t="s">
        <v>2853</v>
      </c>
      <c r="C11" s="6" t="s">
        <v>2854</v>
      </c>
      <c r="D11" s="3"/>
      <c r="E11" s="3"/>
      <c r="F11" s="3"/>
    </row>
  </sheetData>
  <autoFilter ref="A3:F11" xr:uid="{00000000-0009-0000-0000-000017000000}"/>
  <mergeCells count="1">
    <mergeCell ref="A1:F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8"/>
  <sheetViews>
    <sheetView showGridLines="0" workbookViewId="0">
      <pane ySplit="3" topLeftCell="A4" activePane="bottomLeft" state="frozen"/>
      <selection pane="bottomLeft"/>
    </sheetView>
  </sheetViews>
  <sheetFormatPr defaultRowHeight="15"/>
  <cols>
    <col min="1" max="1" width="18" customWidth="1"/>
    <col min="2" max="2" width="44" customWidth="1"/>
    <col min="3" max="4" width="45" customWidth="1"/>
    <col min="5" max="6" width="12" customWidth="1"/>
  </cols>
  <sheetData>
    <row r="1" spans="1:6" ht="26.1" customHeight="1">
      <c r="A1" s="16" t="s">
        <v>2855</v>
      </c>
      <c r="B1" s="17"/>
      <c r="C1" s="17"/>
      <c r="D1" s="17"/>
      <c r="E1" s="17"/>
      <c r="F1" s="17"/>
    </row>
    <row r="3" spans="1:6">
      <c r="A3" s="2" t="s">
        <v>432</v>
      </c>
      <c r="B3" s="2" t="s">
        <v>408</v>
      </c>
      <c r="C3" s="2" t="s">
        <v>434</v>
      </c>
      <c r="D3" s="2" t="s">
        <v>436</v>
      </c>
      <c r="E3" s="3"/>
      <c r="F3" s="3"/>
    </row>
    <row r="4" spans="1:6" ht="45" customHeight="1">
      <c r="A4" s="4" t="s">
        <v>2856</v>
      </c>
      <c r="B4" s="4" t="s">
        <v>2857</v>
      </c>
      <c r="C4" s="4" t="s">
        <v>2858</v>
      </c>
      <c r="D4" s="4" t="s">
        <v>2859</v>
      </c>
      <c r="E4" s="5"/>
      <c r="F4" s="5"/>
    </row>
    <row r="5" spans="1:6" ht="45" customHeight="1">
      <c r="A5" s="6" t="s">
        <v>2860</v>
      </c>
      <c r="B5" s="6" t="s">
        <v>2861</v>
      </c>
      <c r="C5" s="6" t="s">
        <v>2862</v>
      </c>
      <c r="D5" s="6" t="s">
        <v>2863</v>
      </c>
      <c r="E5" s="3"/>
      <c r="F5" s="3"/>
    </row>
    <row r="6" spans="1:6" ht="45" customHeight="1">
      <c r="A6" s="4" t="s">
        <v>2864</v>
      </c>
      <c r="B6" s="4" t="s">
        <v>2865</v>
      </c>
      <c r="C6" s="4" t="s">
        <v>2866</v>
      </c>
      <c r="D6" s="4" t="s">
        <v>2867</v>
      </c>
      <c r="E6" s="5"/>
      <c r="F6" s="5"/>
    </row>
    <row r="7" spans="1:6" ht="45" customHeight="1">
      <c r="A7" s="6" t="s">
        <v>2868</v>
      </c>
      <c r="B7" s="6" t="s">
        <v>2869</v>
      </c>
      <c r="C7" s="6" t="s">
        <v>2870</v>
      </c>
      <c r="D7" s="6" t="s">
        <v>2871</v>
      </c>
      <c r="E7" s="3"/>
      <c r="F7" s="3"/>
    </row>
    <row r="8" spans="1:6" ht="45" customHeight="1">
      <c r="A8" s="4" t="s">
        <v>2872</v>
      </c>
      <c r="B8" s="4" t="s">
        <v>2873</v>
      </c>
      <c r="C8" s="4" t="s">
        <v>2874</v>
      </c>
      <c r="D8" s="4" t="s">
        <v>2875</v>
      </c>
      <c r="E8" s="5"/>
      <c r="F8" s="5"/>
    </row>
  </sheetData>
  <autoFilter ref="A3:F8" xr:uid="{00000000-0009-0000-0000-000018000000}"/>
  <mergeCells count="1">
    <mergeCell ref="A1:F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1"/>
  <sheetViews>
    <sheetView showGridLines="0" workbookViewId="0">
      <pane ySplit="3" topLeftCell="A4" activePane="bottomLeft" state="frozen"/>
      <selection pane="bottomLeft"/>
    </sheetView>
  </sheetViews>
  <sheetFormatPr defaultRowHeight="15"/>
  <cols>
    <col min="1" max="1" width="19" customWidth="1"/>
    <col min="2" max="2" width="45" customWidth="1"/>
    <col min="3" max="3" width="12" customWidth="1"/>
    <col min="4" max="4" width="45" customWidth="1"/>
    <col min="5" max="6" width="12" customWidth="1"/>
  </cols>
  <sheetData>
    <row r="1" spans="1:6" ht="26.1" customHeight="1">
      <c r="A1" s="16" t="s">
        <v>2876</v>
      </c>
      <c r="B1" s="17"/>
      <c r="C1" s="17"/>
      <c r="D1" s="17"/>
      <c r="E1" s="17"/>
      <c r="F1" s="17"/>
    </row>
    <row r="3" spans="1:6">
      <c r="A3" s="2" t="s">
        <v>438</v>
      </c>
      <c r="B3" s="2" t="s">
        <v>440</v>
      </c>
      <c r="C3" s="2" t="s">
        <v>442</v>
      </c>
      <c r="D3" s="2" t="s">
        <v>3</v>
      </c>
      <c r="E3" s="3"/>
      <c r="F3" s="3"/>
    </row>
    <row r="4" spans="1:6" ht="45" customHeight="1">
      <c r="A4" s="4" t="s">
        <v>2877</v>
      </c>
      <c r="B4" s="4" t="s">
        <v>2878</v>
      </c>
      <c r="C4" s="4" t="s">
        <v>2879</v>
      </c>
      <c r="D4" s="4" t="s">
        <v>2880</v>
      </c>
      <c r="E4" s="5"/>
      <c r="F4" s="5"/>
    </row>
    <row r="5" spans="1:6" ht="45" customHeight="1">
      <c r="A5" s="6" t="s">
        <v>2881</v>
      </c>
      <c r="B5" s="6" t="s">
        <v>2882</v>
      </c>
      <c r="C5" s="6" t="s">
        <v>2879</v>
      </c>
      <c r="D5" s="6" t="s">
        <v>2883</v>
      </c>
      <c r="E5" s="3"/>
      <c r="F5" s="3"/>
    </row>
    <row r="6" spans="1:6" ht="45" customHeight="1">
      <c r="A6" s="4" t="s">
        <v>2884</v>
      </c>
      <c r="B6" s="4" t="s">
        <v>2885</v>
      </c>
      <c r="C6" s="4" t="s">
        <v>2879</v>
      </c>
      <c r="D6" s="4" t="s">
        <v>2886</v>
      </c>
      <c r="E6" s="5"/>
      <c r="F6" s="5"/>
    </row>
    <row r="7" spans="1:6" ht="45" customHeight="1">
      <c r="A7" s="6" t="s">
        <v>2887</v>
      </c>
      <c r="B7" s="6" t="s">
        <v>2888</v>
      </c>
      <c r="C7" s="6" t="s">
        <v>2879</v>
      </c>
      <c r="D7" s="6" t="s">
        <v>2889</v>
      </c>
      <c r="E7" s="3"/>
      <c r="F7" s="3"/>
    </row>
    <row r="8" spans="1:6" ht="45" customHeight="1">
      <c r="A8" s="4" t="s">
        <v>2890</v>
      </c>
      <c r="B8" s="4" t="s">
        <v>2891</v>
      </c>
      <c r="C8" s="4" t="s">
        <v>2879</v>
      </c>
      <c r="D8" s="4" t="s">
        <v>2892</v>
      </c>
      <c r="E8" s="5"/>
      <c r="F8" s="5"/>
    </row>
    <row r="9" spans="1:6" ht="45" customHeight="1">
      <c r="A9" s="6" t="s">
        <v>2893</v>
      </c>
      <c r="B9" s="6" t="s">
        <v>2894</v>
      </c>
      <c r="C9" s="6" t="s">
        <v>2879</v>
      </c>
      <c r="D9" s="6" t="s">
        <v>2895</v>
      </c>
      <c r="E9" s="3"/>
      <c r="F9" s="3"/>
    </row>
    <row r="10" spans="1:6" ht="45" customHeight="1">
      <c r="A10" s="4" t="s">
        <v>2896</v>
      </c>
      <c r="B10" s="4" t="s">
        <v>2897</v>
      </c>
      <c r="C10" s="4" t="s">
        <v>2879</v>
      </c>
      <c r="D10" s="4" t="s">
        <v>2898</v>
      </c>
      <c r="E10" s="5"/>
      <c r="F10" s="5"/>
    </row>
    <row r="11" spans="1:6" ht="45" customHeight="1">
      <c r="A11" s="6" t="s">
        <v>2899</v>
      </c>
      <c r="B11" s="6" t="s">
        <v>2900</v>
      </c>
      <c r="C11" s="6" t="s">
        <v>2879</v>
      </c>
      <c r="D11" s="6" t="s">
        <v>2901</v>
      </c>
      <c r="E11" s="3"/>
      <c r="F11" s="3"/>
    </row>
  </sheetData>
  <autoFilter ref="A3:F11" xr:uid="{00000000-0009-0000-0000-000019000000}"/>
  <mergeCells count="1">
    <mergeCell ref="A1:F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D61CCFF9455049B546F4040984DE09" ma:contentTypeVersion="23" ma:contentTypeDescription="Create a new document." ma:contentTypeScope="" ma:versionID="38c94b0235c14be1b3d4f5a6e5f7b781">
  <xsd:schema xmlns:xsd="http://www.w3.org/2001/XMLSchema" xmlns:xs="http://www.w3.org/2001/XMLSchema" xmlns:p="http://schemas.microsoft.com/office/2006/metadata/properties" xmlns:ns1="http://schemas.microsoft.com/sharepoint/v3" xmlns:ns2="bcb88850-cd59-4e21-b10c-16ea8b65b57d" xmlns:ns3="c0d8e549-ba1b-4703-aa09-842459defc28" xmlns:ns4="0f20a38a-d7e5-4f2d-9d04-4e7253d25786" targetNamespace="http://schemas.microsoft.com/office/2006/metadata/properties" ma:root="true" ma:fieldsID="00a042b1ec9166d0059324585f40c868" ns1:_="" ns2:_="" ns3:_="" ns4:_="">
    <xsd:import namespace="http://schemas.microsoft.com/sharepoint/v3"/>
    <xsd:import namespace="bcb88850-cd59-4e21-b10c-16ea8b65b57d"/>
    <xsd:import namespace="c0d8e549-ba1b-4703-aa09-842459defc28"/>
    <xsd:import namespace="0f20a38a-d7e5-4f2d-9d04-4e7253d2578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lcf76f155ced4ddcb4097134ff3c332f" minOccurs="0"/>
                <xsd:element ref="ns4:TaxCatchAll" minOccurs="0"/>
                <xsd:element ref="ns3:MediaServiceObjectDetectorVersions" minOccurs="0"/>
                <xsd:element ref="ns3:MediaServiceLocation" minOccurs="0"/>
                <xsd:element ref="ns3:MediaServiceSearchProperties" minOccurs="0"/>
                <xsd:element ref="ns3:Type2" minOccurs="0"/>
                <xsd:element ref="ns3:MediaServiceBillingMetadata" minOccurs="0"/>
                <xsd:element ref="ns1:_ip_UnifiedCompliancePolicyProperties" minOccurs="0"/>
                <xsd:element ref="ns1:_ip_UnifiedCompliancePolicyUIAction" minOccurs="0"/>
                <xsd:element ref="ns3:Upload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8" nillable="true" ma:displayName="Unified Compliance Policy Properties" ma:hidden="true" ma:internalName="_ip_UnifiedCompliancePolicyProperties">
      <xsd:simpleType>
        <xsd:restriction base="dms:Note"/>
      </xsd:simpleType>
    </xsd:element>
    <xsd:element name="_ip_UnifiedCompliancePolicyUIAction" ma:index="2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b88850-cd59-4e21-b10c-16ea8b65b57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0d8e549-ba1b-4703-aa09-842459defc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Length (seconds)"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18f4780-c71a-4417-85db-0344dc61001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Type2" ma:index="26" nillable="true" ma:displayName="Type2" ma:format="Dropdown" ma:internalName="Type2">
      <xsd:simpleType>
        <xsd:restriction base="dms:Choice">
          <xsd:enumeration value="presentation"/>
          <xsd:enumeration value="report"/>
          <xsd:enumeration value="old"/>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Uploaddate" ma:index="30" nillable="true" ma:displayName="Upload date" ma:format="DateTime" ma:internalName="Upload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0f20a38a-d7e5-4f2d-9d04-4e7253d25786"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7dbc0996-9dfb-4633-b72f-40432ef3e4fd}" ma:internalName="TaxCatchAll" ma:showField="CatchAllData" ma:web="bcb88850-cd59-4e21-b10c-16ea8b65b5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0f20a38a-d7e5-4f2d-9d04-4e7253d25786" xsi:nil="true"/>
    <Uploaddate xmlns="c0d8e549-ba1b-4703-aa09-842459defc28" xsi:nil="true"/>
    <_ip_UnifiedCompliancePolicyProperties xmlns="http://schemas.microsoft.com/sharepoint/v3" xsi:nil="true"/>
    <Type2 xmlns="c0d8e549-ba1b-4703-aa09-842459defc28" xsi:nil="true"/>
    <lcf76f155ced4ddcb4097134ff3c332f xmlns="c0d8e549-ba1b-4703-aa09-842459defc2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404B82-793E-4D37-885B-E7876F134519}"/>
</file>

<file path=customXml/itemProps2.xml><?xml version="1.0" encoding="utf-8"?>
<ds:datastoreItem xmlns:ds="http://schemas.openxmlformats.org/officeDocument/2006/customXml" ds:itemID="{64CF493F-50E4-4AE4-A820-EDA6EE04E7A0}"/>
</file>

<file path=customXml/itemProps3.xml><?xml version="1.0" encoding="utf-8"?>
<ds:datastoreItem xmlns:ds="http://schemas.openxmlformats.org/officeDocument/2006/customXml" ds:itemID="{1DB51536-B53B-4508-8283-67671A8804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2026-08-31T16:07:22Z</dcterms:created>
  <dcterms:modified xsi:type="dcterms:W3CDTF">2026-09-02T09:59:54Z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0x0101008FD61CCFF9455049B546F4040984DE09</vt:lpwstr>
  </property>
</Properties>
</file>